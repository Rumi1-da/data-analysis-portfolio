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D2741ED-70B9-47B0-8F20-5D1A329FB819}" xr6:coauthVersionLast="47" xr6:coauthVersionMax="47" xr10:uidLastSave="{00000000-0000-0000-0000-000000000000}"/>
  <bookViews>
    <workbookView xWindow="-120" yWindow="-120" windowWidth="20730" windowHeight="11160" xr2:uid="{34AE5BAE-25FE-4090-B816-578266A36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1" l="1"/>
  <c r="I3" i="1"/>
  <c r="I5" i="1" s="1"/>
  <c r="I26" i="1" s="1"/>
  <c r="H3" i="1"/>
  <c r="H5" i="1" s="1"/>
  <c r="H26" i="1" s="1"/>
  <c r="G3" i="1"/>
  <c r="G5" i="1"/>
  <c r="I24" i="1"/>
  <c r="H24" i="1"/>
  <c r="I22" i="1"/>
  <c r="H22" i="1"/>
  <c r="G22" i="1"/>
  <c r="I18" i="1"/>
  <c r="I28" i="1" s="1"/>
  <c r="H18" i="1"/>
  <c r="H28" i="1" s="1"/>
  <c r="G18" i="1"/>
  <c r="I16" i="1"/>
  <c r="G16" i="1"/>
  <c r="I15" i="1"/>
  <c r="H15" i="1"/>
  <c r="H16" i="1" s="1"/>
  <c r="G15" i="1"/>
  <c r="I10" i="1"/>
  <c r="H10" i="1"/>
  <c r="G10" i="1"/>
  <c r="C28" i="1"/>
  <c r="D28" i="1"/>
  <c r="B28" i="1"/>
  <c r="G26" i="1" l="1"/>
  <c r="G28" i="1"/>
  <c r="C26" i="1"/>
  <c r="D26" i="1"/>
  <c r="B26" i="1"/>
  <c r="C24" i="1"/>
  <c r="D24" i="1"/>
  <c r="B24" i="1"/>
  <c r="C5" i="1"/>
  <c r="D5" i="1"/>
  <c r="B5" i="1"/>
  <c r="C10" i="1"/>
  <c r="D10" i="1"/>
  <c r="B10" i="1"/>
  <c r="C18" i="1"/>
  <c r="D18" i="1"/>
  <c r="B18" i="1"/>
  <c r="D15" i="1"/>
  <c r="D16" i="1" s="1"/>
  <c r="C15" i="1"/>
  <c r="C16" i="1"/>
  <c r="B16" i="1"/>
  <c r="B15" i="1"/>
  <c r="C22" i="1"/>
  <c r="D22" i="1"/>
  <c r="B22" i="1"/>
</calcChain>
</file>

<file path=xl/sharedStrings.xml><?xml version="1.0" encoding="utf-8"?>
<sst xmlns="http://schemas.openxmlformats.org/spreadsheetml/2006/main" count="52" uniqueCount="33">
  <si>
    <t>Susan</t>
  </si>
  <si>
    <t>Initial Costs</t>
  </si>
  <si>
    <t>purchase Price</t>
  </si>
  <si>
    <t>Taxes</t>
  </si>
  <si>
    <t xml:space="preserve">Spark </t>
  </si>
  <si>
    <t xml:space="preserve">Mustang </t>
  </si>
  <si>
    <t>Escalade</t>
  </si>
  <si>
    <t>Yearly Cost</t>
  </si>
  <si>
    <t>Insurance</t>
  </si>
  <si>
    <t>License</t>
  </si>
  <si>
    <t>Gas</t>
  </si>
  <si>
    <t>Tim</t>
  </si>
  <si>
    <t>Initial Cost</t>
  </si>
  <si>
    <t>Price</t>
  </si>
  <si>
    <t>Gas Cost</t>
  </si>
  <si>
    <t>Miles</t>
  </si>
  <si>
    <t>MPG</t>
  </si>
  <si>
    <t>Price Per gal</t>
  </si>
  <si>
    <t>Cas cost Calculation</t>
  </si>
  <si>
    <t>Miles Per Year driven</t>
  </si>
  <si>
    <t>Price per gal  of gas</t>
  </si>
  <si>
    <t>Total Annual Gas purchase</t>
  </si>
  <si>
    <t>Total Annual Cost(ins + lic + Gas)</t>
  </si>
  <si>
    <t>Miles to drive each year</t>
  </si>
  <si>
    <t>Susan's goal for maximum miles</t>
  </si>
  <si>
    <t>Total year of the car(years)</t>
  </si>
  <si>
    <t>Car life Span</t>
  </si>
  <si>
    <t>Annual Cost X Years of Life</t>
  </si>
  <si>
    <t>Total Lifetime costs</t>
  </si>
  <si>
    <t>Avg Cost /Year</t>
  </si>
  <si>
    <t>Spark</t>
  </si>
  <si>
    <t>Mustang</t>
  </si>
  <si>
    <t>Total Annual Gas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</si>
</sst>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2" fillId="4" borderId="0" xfId="0" applyFont="1" applyFill="1"/>
    <xf numFmtId="0" fontId="4" fillId="2" borderId="0" xfId="0" applyFont="1" applyFill="1"/>
    <xf numFmtId="44" fontId="0" fillId="2" borderId="0" xfId="1" applyFont="1" applyFill="1"/>
    <xf numFmtId="44" fontId="0" fillId="0" borderId="0" xfId="1" applyFont="1" applyFill="1"/>
    <xf numFmtId="44" fontId="0" fillId="3" borderId="0" xfId="1" applyFont="1" applyFill="1"/>
    <xf numFmtId="44" fontId="0" fillId="0" borderId="0" xfId="0" applyNumberFormat="1"/>
    <xf numFmtId="0" fontId="0" fillId="5" borderId="0" xfId="0" applyNumberFormat="1" applyFill="1"/>
    <xf numFmtId="0" fontId="0" fillId="6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Sheet1!$B$27:$D$27</c:f>
              <c:strCache>
                <c:ptCount val="3"/>
                <c:pt idx="0">
                  <c:v>Spark</c:v>
                </c:pt>
                <c:pt idx="1">
                  <c:v>Mustang</c:v>
                </c:pt>
                <c:pt idx="2">
                  <c:v>Escalade</c:v>
                </c:pt>
              </c:strCache>
            </c:strRef>
          </c:cat>
          <c:val>
            <c:numRef>
              <c:f>Sheet1!$B$28:$D$28</c:f>
              <c:numCache>
                <c:formatCode>_("$"* #,##0.00_);_("$"* \(#,##0.00\);_("$"* "-"??_);_(@_)</c:formatCode>
                <c:ptCount val="3"/>
                <c:pt idx="0">
                  <c:v>1112.1428571428569</c:v>
                </c:pt>
                <c:pt idx="1">
                  <c:v>1873.6842105263158</c:v>
                </c:pt>
                <c:pt idx="2">
                  <c:v>2304.4117647058824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0-458A-A5D5-C9210EB98B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2335679"/>
        <c:axId val="382336639"/>
      </c:barChart>
      <c:catAx>
        <c:axId val="38233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36639"/>
        <c:crosses val="autoZero"/>
        <c:auto val="1"/>
        <c:lblAlgn val="ctr"/>
        <c:lblOffset val="100"/>
        <c:noMultiLvlLbl val="0"/>
      </c:catAx>
      <c:valAx>
        <c:axId val="3823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3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Sheet1!$G$27:$I$27</c:f>
              <c:strCache>
                <c:ptCount val="3"/>
                <c:pt idx="0">
                  <c:v>Spark</c:v>
                </c:pt>
                <c:pt idx="1">
                  <c:v>Mustang</c:v>
                </c:pt>
                <c:pt idx="2">
                  <c:v>Escalade</c:v>
                </c:pt>
              </c:strCache>
            </c:strRef>
          </c:cat>
          <c:val>
            <c:numRef>
              <c:f>Sheet1!$G$28:$I$28</c:f>
              <c:numCache>
                <c:formatCode>_("$"* #,##0.00_);_("$"* \(#,##0.00\);_("$"* "-"??_);_(@_)</c:formatCode>
                <c:ptCount val="3"/>
                <c:pt idx="0">
                  <c:v>1112.1428571428569</c:v>
                </c:pt>
                <c:pt idx="1">
                  <c:v>1873.6842105263158</c:v>
                </c:pt>
                <c:pt idx="2">
                  <c:v>2304.4117647058824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F-4D11-8ECA-B3B5B840A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9792799"/>
        <c:axId val="389795679"/>
      </c:barChart>
      <c:catAx>
        <c:axId val="38979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95679"/>
        <c:crosses val="autoZero"/>
        <c:auto val="1"/>
        <c:lblAlgn val="ctr"/>
        <c:lblOffset val="100"/>
        <c:noMultiLvlLbl val="0"/>
      </c:catAx>
      <c:valAx>
        <c:axId val="3897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9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14287</xdr:rowOff>
    </xdr:from>
    <xdr:to>
      <xdr:col>4</xdr:col>
      <xdr:colOff>152400</xdr:colOff>
      <xdr:row>43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A9E3C-3601-AA1F-8809-05444FC29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28</xdr:row>
      <xdr:rowOff>185737</xdr:rowOff>
    </xdr:from>
    <xdr:to>
      <xdr:col>9</xdr:col>
      <xdr:colOff>57150</xdr:colOff>
      <xdr:row>43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6937BC-34BB-5137-D6FE-992A1BA92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CB82-3ED2-42A8-936B-C473D06A45EC}">
  <dimension ref="A1:I28"/>
  <sheetViews>
    <sheetView tabSelected="1" topLeftCell="A12" workbookViewId="0">
      <selection activeCell="K17" sqref="K17"/>
    </sheetView>
  </sheetViews>
  <sheetFormatPr defaultRowHeight="15" x14ac:dyDescent="0.25"/>
  <cols>
    <col min="1" max="1" width="30.5703125" bestFit="1" customWidth="1"/>
    <col min="2" max="3" width="11.5703125" bestFit="1" customWidth="1"/>
    <col min="4" max="4" width="12.5703125" bestFit="1" customWidth="1"/>
    <col min="6" max="6" width="30.5703125" bestFit="1" customWidth="1"/>
    <col min="7" max="8" width="12" bestFit="1" customWidth="1"/>
    <col min="9" max="9" width="12.5703125" bestFit="1" customWidth="1"/>
  </cols>
  <sheetData>
    <row r="1" spans="1:9" x14ac:dyDescent="0.25">
      <c r="A1" t="s">
        <v>0</v>
      </c>
      <c r="B1" t="s">
        <v>4</v>
      </c>
      <c r="C1" t="s">
        <v>5</v>
      </c>
      <c r="D1" t="s">
        <v>6</v>
      </c>
      <c r="F1" t="s">
        <v>11</v>
      </c>
      <c r="G1" t="s">
        <v>4</v>
      </c>
      <c r="H1" t="s">
        <v>5</v>
      </c>
      <c r="I1" t="s">
        <v>6</v>
      </c>
    </row>
    <row r="2" spans="1:9" x14ac:dyDescent="0.25">
      <c r="A2" s="8" t="s">
        <v>1</v>
      </c>
      <c r="B2" s="1"/>
      <c r="C2" s="1"/>
      <c r="D2" s="1"/>
      <c r="F2" s="1" t="s">
        <v>12</v>
      </c>
      <c r="G2" s="1"/>
      <c r="H2" s="1"/>
      <c r="I2" s="1"/>
    </row>
    <row r="3" spans="1:9" x14ac:dyDescent="0.25">
      <c r="A3" s="1" t="s">
        <v>2</v>
      </c>
      <c r="B3" s="9">
        <v>14500</v>
      </c>
      <c r="C3" s="9">
        <v>31000</v>
      </c>
      <c r="D3" s="9">
        <v>72000</v>
      </c>
      <c r="F3" s="1" t="s">
        <v>13</v>
      </c>
      <c r="G3" s="9">
        <f>14500*40%+14500</f>
        <v>20300</v>
      </c>
      <c r="H3" s="9">
        <f>31000*40%+31000</f>
        <v>43400</v>
      </c>
      <c r="I3" s="9">
        <f>72000*40%+72000</f>
        <v>100800</v>
      </c>
    </row>
    <row r="4" spans="1:9" x14ac:dyDescent="0.25">
      <c r="A4" s="1" t="s">
        <v>3</v>
      </c>
      <c r="B4" s="9">
        <v>1450</v>
      </c>
      <c r="C4" s="9">
        <v>3100</v>
      </c>
      <c r="D4" s="9">
        <v>7200</v>
      </c>
      <c r="F4" s="1" t="s">
        <v>3</v>
      </c>
      <c r="G4" s="9">
        <v>1450</v>
      </c>
      <c r="H4" s="9">
        <v>3100</v>
      </c>
      <c r="I4" s="9">
        <v>7200</v>
      </c>
    </row>
    <row r="5" spans="1:9" x14ac:dyDescent="0.25">
      <c r="A5" s="2"/>
      <c r="B5" s="10">
        <f>B3+B4</f>
        <v>15950</v>
      </c>
      <c r="C5" s="10">
        <f t="shared" ref="C5:D5" si="0">C3+C4</f>
        <v>34100</v>
      </c>
      <c r="D5" s="10">
        <f t="shared" si="0"/>
        <v>79200</v>
      </c>
      <c r="G5" s="10">
        <f>G3+G4</f>
        <v>21750</v>
      </c>
      <c r="H5" s="10">
        <f t="shared" ref="H5" si="1">H3+H4</f>
        <v>46500</v>
      </c>
      <c r="I5" s="10">
        <f t="shared" ref="I5" si="2">I3+I4</f>
        <v>108000</v>
      </c>
    </row>
    <row r="6" spans="1:9" x14ac:dyDescent="0.25">
      <c r="A6" s="6" t="s">
        <v>7</v>
      </c>
      <c r="B6" s="11"/>
      <c r="C6" s="11"/>
      <c r="D6" s="11"/>
      <c r="F6" s="14" t="s">
        <v>7</v>
      </c>
      <c r="G6" s="11"/>
      <c r="H6" s="11"/>
      <c r="I6" s="11"/>
    </row>
    <row r="7" spans="1:9" x14ac:dyDescent="0.25">
      <c r="A7" s="3" t="s">
        <v>8</v>
      </c>
      <c r="B7" s="11">
        <v>1500</v>
      </c>
      <c r="C7" s="11">
        <v>2500</v>
      </c>
      <c r="D7" s="11">
        <v>3100</v>
      </c>
      <c r="F7" s="14" t="s">
        <v>8</v>
      </c>
      <c r="G7" s="11">
        <v>1500</v>
      </c>
      <c r="H7" s="11">
        <v>2500</v>
      </c>
      <c r="I7" s="11">
        <v>3100</v>
      </c>
    </row>
    <row r="8" spans="1:9" x14ac:dyDescent="0.25">
      <c r="A8" s="3" t="s">
        <v>9</v>
      </c>
      <c r="B8" s="11">
        <v>210</v>
      </c>
      <c r="C8" s="11">
        <v>300</v>
      </c>
      <c r="D8" s="11">
        <v>450</v>
      </c>
      <c r="F8" s="14" t="s">
        <v>9</v>
      </c>
      <c r="G8" s="11">
        <v>210</v>
      </c>
      <c r="H8" s="11">
        <v>300</v>
      </c>
      <c r="I8" s="11">
        <v>450</v>
      </c>
    </row>
    <row r="9" spans="1:9" x14ac:dyDescent="0.25">
      <c r="A9" s="3" t="s">
        <v>10</v>
      </c>
      <c r="B9" s="11">
        <v>514.28571428571399</v>
      </c>
      <c r="C9" s="11">
        <v>947.36842105263156</v>
      </c>
      <c r="D9" s="11">
        <v>1058.8235294117646</v>
      </c>
      <c r="F9" s="14" t="s">
        <v>10</v>
      </c>
      <c r="G9" s="11">
        <v>514.28571428571399</v>
      </c>
      <c r="H9" s="11">
        <v>947.36842105263156</v>
      </c>
      <c r="I9" s="11">
        <v>1058.8235294117646</v>
      </c>
    </row>
    <row r="10" spans="1:9" x14ac:dyDescent="0.25">
      <c r="B10" s="12">
        <f>B7+B8+B9</f>
        <v>2224.2857142857138</v>
      </c>
      <c r="C10" s="12">
        <f t="shared" ref="C10:D10" si="3">C7+C8+C9</f>
        <v>3747.3684210526317</v>
      </c>
      <c r="D10" s="12">
        <f t="shared" si="3"/>
        <v>4608.8235294117649</v>
      </c>
      <c r="G10" s="12">
        <f>G7+G8+G9</f>
        <v>2224.2857142857138</v>
      </c>
      <c r="H10" s="12">
        <f t="shared" ref="H10" si="4">H7+H8+H9</f>
        <v>3747.3684210526317</v>
      </c>
      <c r="I10" s="12">
        <f t="shared" ref="I10" si="5">I7+I8+I9</f>
        <v>4608.8235294117649</v>
      </c>
    </row>
    <row r="12" spans="1:9" x14ac:dyDescent="0.25">
      <c r="A12" s="7" t="s">
        <v>18</v>
      </c>
      <c r="B12" s="4"/>
      <c r="C12" s="4"/>
      <c r="D12" s="4"/>
      <c r="F12" s="4" t="s">
        <v>14</v>
      </c>
      <c r="G12" s="4"/>
      <c r="H12" s="4"/>
      <c r="I12" s="4"/>
    </row>
    <row r="13" spans="1:9" x14ac:dyDescent="0.25">
      <c r="A13" s="4" t="s">
        <v>19</v>
      </c>
      <c r="B13" s="4">
        <v>30000</v>
      </c>
      <c r="C13" s="4">
        <v>30000</v>
      </c>
      <c r="D13" s="4">
        <v>30000</v>
      </c>
      <c r="F13" s="4" t="s">
        <v>15</v>
      </c>
      <c r="G13" s="4">
        <v>30000</v>
      </c>
      <c r="H13" s="4">
        <v>30000</v>
      </c>
      <c r="I13" s="4">
        <v>30000</v>
      </c>
    </row>
    <row r="14" spans="1:9" x14ac:dyDescent="0.25">
      <c r="A14" s="4" t="s">
        <v>16</v>
      </c>
      <c r="B14" s="4">
        <v>35</v>
      </c>
      <c r="C14" s="4">
        <v>19</v>
      </c>
      <c r="D14" s="4">
        <v>17</v>
      </c>
      <c r="F14" s="4" t="s">
        <v>16</v>
      </c>
      <c r="G14" s="4">
        <v>35</v>
      </c>
      <c r="H14" s="4">
        <v>19</v>
      </c>
      <c r="I14" s="4">
        <v>17</v>
      </c>
    </row>
    <row r="15" spans="1:9" x14ac:dyDescent="0.25">
      <c r="A15" s="4" t="s">
        <v>20</v>
      </c>
      <c r="B15" s="4">
        <f>1500/35</f>
        <v>42.857142857142854</v>
      </c>
      <c r="C15" s="4">
        <f>1500/C14</f>
        <v>78.94736842105263</v>
      </c>
      <c r="D15" s="4">
        <f>1500/D14</f>
        <v>88.235294117647058</v>
      </c>
      <c r="F15" s="4" t="s">
        <v>17</v>
      </c>
      <c r="G15" s="4">
        <f>1500/35</f>
        <v>42.857142857142854</v>
      </c>
      <c r="H15" s="4">
        <f>1500/H14</f>
        <v>78.94736842105263</v>
      </c>
      <c r="I15" s="4">
        <f>1500/I14</f>
        <v>88.235294117647058</v>
      </c>
    </row>
    <row r="16" spans="1:9" x14ac:dyDescent="0.25">
      <c r="A16" s="4" t="s">
        <v>21</v>
      </c>
      <c r="B16" s="4">
        <f>B15*12</f>
        <v>514.28571428571422</v>
      </c>
      <c r="C16" s="4">
        <f t="shared" ref="C16:D16" si="6">C15*12</f>
        <v>947.36842105263156</v>
      </c>
      <c r="D16" s="4">
        <f t="shared" si="6"/>
        <v>1058.8235294117646</v>
      </c>
      <c r="F16" s="4" t="s">
        <v>32</v>
      </c>
      <c r="G16" s="4">
        <f>G15*12</f>
        <v>514.28571428571422</v>
      </c>
      <c r="H16" s="4">
        <f t="shared" ref="H16" si="7">H15*12</f>
        <v>947.36842105263156</v>
      </c>
      <c r="I16" s="4">
        <f t="shared" ref="I16" si="8">I15*12</f>
        <v>1058.8235294117646</v>
      </c>
    </row>
    <row r="18" spans="1:9" x14ac:dyDescent="0.25">
      <c r="A18" t="s">
        <v>22</v>
      </c>
      <c r="B18" s="12">
        <f>B7+B8+B9</f>
        <v>2224.2857142857138</v>
      </c>
      <c r="C18" s="12">
        <f t="shared" ref="C18:D18" si="9">C7+C8+C9</f>
        <v>3747.3684210526317</v>
      </c>
      <c r="D18" s="12">
        <f t="shared" si="9"/>
        <v>4608.8235294117649</v>
      </c>
      <c r="F18" t="s">
        <v>22</v>
      </c>
      <c r="G18" s="12">
        <f>G7+G8+G9</f>
        <v>2224.2857142857138</v>
      </c>
      <c r="H18" s="12">
        <f t="shared" ref="H18:I18" si="10">H7+H8+H9</f>
        <v>3747.3684210526317</v>
      </c>
      <c r="I18" s="12">
        <f t="shared" si="10"/>
        <v>4608.8235294117649</v>
      </c>
    </row>
    <row r="20" spans="1:9" x14ac:dyDescent="0.25">
      <c r="A20" s="5" t="s">
        <v>23</v>
      </c>
      <c r="B20" s="5">
        <v>30000</v>
      </c>
      <c r="C20" s="5">
        <v>30000</v>
      </c>
      <c r="D20" s="5">
        <v>30000</v>
      </c>
      <c r="F20" s="5" t="s">
        <v>23</v>
      </c>
      <c r="G20" s="5">
        <v>30000</v>
      </c>
      <c r="H20" s="5">
        <v>30000</v>
      </c>
      <c r="I20" s="5">
        <v>30000</v>
      </c>
    </row>
    <row r="21" spans="1:9" x14ac:dyDescent="0.25">
      <c r="A21" s="5" t="s">
        <v>24</v>
      </c>
      <c r="B21" s="5">
        <v>250000</v>
      </c>
      <c r="C21" s="5">
        <v>250000</v>
      </c>
      <c r="D21" s="5">
        <v>250000</v>
      </c>
      <c r="F21" s="5" t="s">
        <v>24</v>
      </c>
      <c r="G21" s="5">
        <v>250000</v>
      </c>
      <c r="H21" s="5">
        <v>250000</v>
      </c>
      <c r="I21" s="5">
        <v>250000</v>
      </c>
    </row>
    <row r="22" spans="1:9" x14ac:dyDescent="0.25">
      <c r="A22" s="5" t="s">
        <v>25</v>
      </c>
      <c r="B22" s="13">
        <f>B21/B20</f>
        <v>8.3333333333333339</v>
      </c>
      <c r="C22" s="13">
        <f t="shared" ref="C22:D22" si="11">C21/C20</f>
        <v>8.3333333333333339</v>
      </c>
      <c r="D22" s="13">
        <f t="shared" si="11"/>
        <v>8.3333333333333339</v>
      </c>
      <c r="F22" s="5" t="s">
        <v>26</v>
      </c>
      <c r="G22" s="13">
        <f>G21/G20</f>
        <v>8.3333333333333339</v>
      </c>
      <c r="H22" s="13">
        <f t="shared" ref="H22" si="12">H21/H20</f>
        <v>8.3333333333333339</v>
      </c>
      <c r="I22" s="13">
        <f t="shared" ref="I22" si="13">I21/I20</f>
        <v>8.3333333333333339</v>
      </c>
    </row>
    <row r="24" spans="1:9" x14ac:dyDescent="0.25">
      <c r="A24" t="s">
        <v>27</v>
      </c>
      <c r="B24" s="12">
        <f>B18*B22</f>
        <v>18535.714285714283</v>
      </c>
      <c r="C24" s="12">
        <f t="shared" ref="C24:D24" si="14">C18*C22</f>
        <v>31228.070175438599</v>
      </c>
      <c r="D24" s="12">
        <f t="shared" si="14"/>
        <v>38406.862745098042</v>
      </c>
      <c r="F24" t="s">
        <v>27</v>
      </c>
      <c r="G24" s="12">
        <f>G18*G22</f>
        <v>18535.714285714283</v>
      </c>
      <c r="H24" s="12">
        <f t="shared" ref="H24:I24" si="15">H18*H22</f>
        <v>31228.070175438599</v>
      </c>
      <c r="I24" s="12">
        <f t="shared" si="15"/>
        <v>38406.862745098042</v>
      </c>
    </row>
    <row r="26" spans="1:9" x14ac:dyDescent="0.25">
      <c r="A26" t="s">
        <v>28</v>
      </c>
      <c r="B26" s="12">
        <f>B5+B24</f>
        <v>34485.714285714283</v>
      </c>
      <c r="C26" s="12">
        <f t="shared" ref="C26:D26" si="16">C5+C24</f>
        <v>65328.070175438595</v>
      </c>
      <c r="D26" s="12">
        <f t="shared" si="16"/>
        <v>117606.86274509804</v>
      </c>
      <c r="F26" t="s">
        <v>28</v>
      </c>
      <c r="G26" s="12">
        <f>G5+G24</f>
        <v>40285.714285714283</v>
      </c>
      <c r="H26" s="12">
        <f t="shared" ref="H26:I26" si="17">H5+H24</f>
        <v>77728.070175438595</v>
      </c>
      <c r="I26" s="12">
        <f t="shared" si="17"/>
        <v>146406.86274509804</v>
      </c>
    </row>
    <row r="27" spans="1:9" x14ac:dyDescent="0.25">
      <c r="B27" t="s">
        <v>30</v>
      </c>
      <c r="C27" t="s">
        <v>31</v>
      </c>
      <c r="D27" t="s">
        <v>6</v>
      </c>
      <c r="G27" t="s">
        <v>30</v>
      </c>
      <c r="H27" t="s">
        <v>31</v>
      </c>
      <c r="I27" t="s">
        <v>6</v>
      </c>
    </row>
    <row r="28" spans="1:9" x14ac:dyDescent="0.25">
      <c r="A28" t="s">
        <v>29</v>
      </c>
      <c r="B28" s="12">
        <f>B18/2</f>
        <v>1112.1428571428569</v>
      </c>
      <c r="C28" s="12">
        <f t="shared" ref="C28:D28" si="18">C18/2</f>
        <v>1873.6842105263158</v>
      </c>
      <c r="D28" s="12">
        <f t="shared" si="18"/>
        <v>2304.4117647058824</v>
      </c>
      <c r="F28" t="s">
        <v>29</v>
      </c>
      <c r="G28" s="12">
        <f>G18/2</f>
        <v>1112.1428571428569</v>
      </c>
      <c r="H28" s="12">
        <f t="shared" ref="H28:I28" si="19">H18/2</f>
        <v>1873.6842105263158</v>
      </c>
      <c r="I28" s="12">
        <f t="shared" si="19"/>
        <v>2304.4117647058824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dcterms:created xsi:type="dcterms:W3CDTF">2026-02-05T04:45:24Z</dcterms:created>
  <dcterms:modified xsi:type="dcterms:W3CDTF">2026-02-06T05:45:39Z</dcterms:modified>
</cp:coreProperties>
</file>