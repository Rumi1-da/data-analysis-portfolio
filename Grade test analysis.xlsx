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E542E3A-EA87-4510-95EF-22CE2C0B0A4F}" xr6:coauthVersionLast="47" xr6:coauthVersionMax="47" xr10:uidLastSave="{00000000-0000-0000-0000-000000000000}"/>
  <bookViews>
    <workbookView xWindow="-120" yWindow="-120" windowWidth="20730" windowHeight="11160" xr2:uid="{0058ADD2-8585-4AEC-9477-0C62F8C87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E22" i="1"/>
  <c r="F22" i="1"/>
  <c r="E23" i="1"/>
  <c r="F23" i="1"/>
  <c r="E24" i="1"/>
  <c r="F24" i="1"/>
  <c r="D22" i="1"/>
  <c r="D23" i="1"/>
  <c r="D24" i="1"/>
  <c r="C24" i="1"/>
  <c r="C23" i="1"/>
  <c r="C22" i="1"/>
  <c r="M8" i="1"/>
  <c r="M12" i="1"/>
  <c r="M16" i="1"/>
  <c r="M20" i="1"/>
  <c r="I4" i="1"/>
  <c r="J4" i="1"/>
  <c r="K4" i="1"/>
  <c r="I5" i="1"/>
  <c r="J5" i="1"/>
  <c r="K5" i="1"/>
  <c r="I6" i="1"/>
  <c r="J6" i="1"/>
  <c r="K6" i="1"/>
  <c r="I7" i="1"/>
  <c r="J7" i="1"/>
  <c r="M7" i="1" s="1"/>
  <c r="K7" i="1"/>
  <c r="I8" i="1"/>
  <c r="J8" i="1"/>
  <c r="K8" i="1"/>
  <c r="I9" i="1"/>
  <c r="J9" i="1"/>
  <c r="K9" i="1"/>
  <c r="I10" i="1"/>
  <c r="J10" i="1"/>
  <c r="K10" i="1"/>
  <c r="I11" i="1"/>
  <c r="J11" i="1"/>
  <c r="M11" i="1" s="1"/>
  <c r="K11" i="1"/>
  <c r="I12" i="1"/>
  <c r="J12" i="1"/>
  <c r="K12" i="1"/>
  <c r="I13" i="1"/>
  <c r="J13" i="1"/>
  <c r="K13" i="1"/>
  <c r="I14" i="1"/>
  <c r="J14" i="1"/>
  <c r="K14" i="1"/>
  <c r="I15" i="1"/>
  <c r="J15" i="1"/>
  <c r="M15" i="1" s="1"/>
  <c r="K15" i="1"/>
  <c r="I16" i="1"/>
  <c r="J16" i="1"/>
  <c r="K16" i="1"/>
  <c r="I17" i="1"/>
  <c r="J17" i="1"/>
  <c r="K17" i="1"/>
  <c r="I18" i="1"/>
  <c r="J18" i="1"/>
  <c r="K18" i="1"/>
  <c r="I19" i="1"/>
  <c r="J19" i="1"/>
  <c r="M19" i="1" s="1"/>
  <c r="K19" i="1"/>
  <c r="I20" i="1"/>
  <c r="J20" i="1"/>
  <c r="K20" i="1"/>
  <c r="H5" i="1"/>
  <c r="M5" i="1" s="1"/>
  <c r="H6" i="1"/>
  <c r="M6" i="1" s="1"/>
  <c r="H7" i="1"/>
  <c r="H8" i="1"/>
  <c r="H9" i="1"/>
  <c r="M9" i="1" s="1"/>
  <c r="H10" i="1"/>
  <c r="M10" i="1" s="1"/>
  <c r="H11" i="1"/>
  <c r="H12" i="1"/>
  <c r="H13" i="1"/>
  <c r="M13" i="1" s="1"/>
  <c r="H14" i="1"/>
  <c r="M14" i="1" s="1"/>
  <c r="H15" i="1"/>
  <c r="H16" i="1"/>
  <c r="H17" i="1"/>
  <c r="M17" i="1" s="1"/>
  <c r="H18" i="1"/>
  <c r="M18" i="1" s="1"/>
  <c r="H19" i="1"/>
  <c r="H20" i="1"/>
  <c r="H4" i="1"/>
  <c r="M4" i="1" s="1"/>
</calcChain>
</file>

<file path=xl/sharedStrings.xml><?xml version="1.0" encoding="utf-8"?>
<sst xmlns="http://schemas.openxmlformats.org/spreadsheetml/2006/main" count="50" uniqueCount="46">
  <si>
    <t>Gradebook</t>
  </si>
  <si>
    <t>Last Name</t>
  </si>
  <si>
    <t>First Name</t>
  </si>
  <si>
    <t>Kern</t>
  </si>
  <si>
    <t>Jon</t>
  </si>
  <si>
    <t>Howard</t>
  </si>
  <si>
    <t>Glenda</t>
  </si>
  <si>
    <t>Donald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</si>
  <si>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</si>
  <si>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</si>
  <si>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</si>
  <si>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</si>
  <si>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</si>
  <si>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</si>
  <si>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</si>
  <si>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</si>
  <si>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</si>
  <si>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</si>
  <si>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</si>
  <si>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</si>
  <si>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</si>
  <si>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</si>
  <si>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</si>
  <si>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</si>
  <si>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</si>
  <si>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</si>
  <si>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</si>
  <si>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</si>
  <si>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</si>
  <si>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</si>
  <si>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</si>
  <si>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 xml:space="preserve">Norman </t>
  </si>
  <si>
    <t>Bill</t>
  </si>
  <si>
    <t>Mann</t>
  </si>
  <si>
    <t>Trent</t>
  </si>
  <si>
    <t>Underhill</t>
  </si>
  <si>
    <t>Genesis</t>
  </si>
  <si>
    <t>Safety Test</t>
  </si>
  <si>
    <t>company Phylosophy Test</t>
  </si>
  <si>
    <t>Financial Skills Test</t>
  </si>
  <si>
    <t>Drug Test</t>
  </si>
  <si>
    <t>Points Possible</t>
  </si>
  <si>
    <t>Min</t>
  </si>
  <si>
    <t>Max</t>
  </si>
  <si>
    <t>Average</t>
  </si>
  <si>
    <t>Fire Employee?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</si>
</sst>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Donald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9-48CA-BB51-9D48C1F10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153039"/>
        <c:axId val="822154959"/>
      </c:barChart>
      <c:catAx>
        <c:axId val="82215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54959"/>
        <c:crosses val="autoZero"/>
        <c:auto val="1"/>
        <c:lblAlgn val="ctr"/>
        <c:lblOffset val="100"/>
        <c:noMultiLvlLbl val="0"/>
      </c:catAx>
      <c:valAx>
        <c:axId val="82215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5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</a:t>
            </a:r>
            <a:r>
              <a:rPr lang="en-US" baseline="0"/>
              <a:t> Phylosophy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Donald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10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0-4BDE-8B08-4BE296C3C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6914111"/>
        <c:axId val="1016910751"/>
      </c:barChart>
      <c:catAx>
        <c:axId val="101691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10751"/>
        <c:crosses val="autoZero"/>
        <c:auto val="1"/>
        <c:lblAlgn val="ctr"/>
        <c:lblOffset val="100"/>
        <c:noMultiLvlLbl val="0"/>
      </c:catAx>
      <c:valAx>
        <c:axId val="10169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1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Skill Test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914260717410328E-2"/>
          <c:y val="0.19486111111111112"/>
          <c:w val="0.89030796150481195"/>
          <c:h val="0.5931441382327209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Donald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 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93</c:v>
                </c:pt>
                <c:pt idx="1">
                  <c:v>100</c:v>
                </c:pt>
                <c:pt idx="2">
                  <c:v>82</c:v>
                </c:pt>
                <c:pt idx="3">
                  <c:v>73</c:v>
                </c:pt>
                <c:pt idx="4">
                  <c:v>59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67</c:v>
                </c:pt>
                <c:pt idx="9">
                  <c:v>70</c:v>
                </c:pt>
                <c:pt idx="10">
                  <c:v>80</c:v>
                </c:pt>
                <c:pt idx="11">
                  <c:v>90</c:v>
                </c:pt>
                <c:pt idx="12">
                  <c:v>45</c:v>
                </c:pt>
                <c:pt idx="13">
                  <c:v>90</c:v>
                </c:pt>
                <c:pt idx="14">
                  <c:v>80</c:v>
                </c:pt>
                <c:pt idx="15">
                  <c:v>69</c:v>
                </c:pt>
                <c:pt idx="16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B-43E8-AA3B-0DE7CCC4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752319"/>
        <c:axId val="1001756159"/>
      </c:barChart>
      <c:catAx>
        <c:axId val="100175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56159"/>
        <c:crosses val="autoZero"/>
        <c:auto val="1"/>
        <c:lblAlgn val="ctr"/>
        <c:lblOffset val="100"/>
        <c:noMultiLvlLbl val="0"/>
      </c:catAx>
      <c:valAx>
        <c:axId val="100175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752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1" l="1" r="1" t="1" header="0.5" footer="0.5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5602</xdr:colOff>
      <xdr:row>2</xdr:row>
      <xdr:rowOff>146796</xdr:rowOff>
    </xdr:from>
    <xdr:to>
      <xdr:col>21</xdr:col>
      <xdr:colOff>341779</xdr:colOff>
      <xdr:row>17</xdr:row>
      <xdr:rowOff>32496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7F0AA4-BA4A-69EF-CF63-28C3311EB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28014</xdr:colOff>
      <xdr:row>17</xdr:row>
      <xdr:rowOff>146796</xdr:rowOff>
    </xdr:from>
    <xdr:to>
      <xdr:col>21</xdr:col>
      <xdr:colOff>364191</xdr:colOff>
      <xdr:row>32</xdr:row>
      <xdr:rowOff>32496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E728AC-F4CB-9FC1-7103-755391E78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28015</xdr:colOff>
      <xdr:row>32</xdr:row>
      <xdr:rowOff>158001</xdr:rowOff>
    </xdr:from>
    <xdr:to>
      <xdr:col>21</xdr:col>
      <xdr:colOff>364192</xdr:colOff>
      <xdr:row>47</xdr:row>
      <xdr:rowOff>43701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7C95B7-52AC-D254-B4A3-C6329681B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0B02-0B44-4E18-A29A-D23929708FBC}">
  <sheetPr>
    <pageSetUpPr fitToPage="1"/>
  </sheetPr>
  <dimension ref="A1:M24"/>
  <sheetViews>
    <sheetView tabSelected="1" zoomScale="75" zoomScaleNormal="75" workbookViewId="0">
      <selection activeCell="K10" sqref="K10"/>
    </sheetView>
  </sheetViews>
  <sheetFormatPr defaultRowHeight="15" x14ac:dyDescent="0.25"/>
  <cols>
    <col min="3" max="3" width="7" customWidth="1"/>
    <col min="4" max="4" width="7.5703125" customWidth="1"/>
    <col min="5" max="5" width="7.28515625" customWidth="1"/>
    <col min="6" max="6" width="5.28515625" customWidth="1"/>
  </cols>
  <sheetData>
    <row r="1" spans="1:13" ht="126.75" x14ac:dyDescent="0.25">
      <c r="A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H1" s="1" t="s">
        <v>37</v>
      </c>
      <c r="I1" s="1" t="s">
        <v>38</v>
      </c>
      <c r="J1" s="1" t="s">
        <v>39</v>
      </c>
      <c r="K1" s="1" t="s">
        <v>40</v>
      </c>
      <c r="M1" s="1" t="s">
        <v>45</v>
      </c>
    </row>
    <row r="2" spans="1:13" x14ac:dyDescent="0.25">
      <c r="B2" t="s">
        <v>41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1</v>
      </c>
      <c r="B3" t="s">
        <v>2</v>
      </c>
    </row>
    <row r="4" spans="1:13" x14ac:dyDescent="0.25">
      <c r="A4" t="s">
        <v>3</v>
      </c>
      <c r="B4" t="s">
        <v>4</v>
      </c>
      <c r="C4">
        <v>10</v>
      </c>
      <c r="D4">
        <v>19</v>
      </c>
      <c r="E4">
        <v>93</v>
      </c>
      <c r="F4">
        <v>1</v>
      </c>
      <c r="H4" s="2">
        <f>C4/C$2</f>
        <v>1</v>
      </c>
      <c r="I4" s="2">
        <f t="shared" ref="I4:K19" si="0">D4/D$2</f>
        <v>0.95</v>
      </c>
      <c r="J4" s="2">
        <f t="shared" si="0"/>
        <v>0.93</v>
      </c>
      <c r="K4" s="2">
        <f t="shared" si="0"/>
        <v>1</v>
      </c>
      <c r="M4" s="2" t="b">
        <f>OR(H4&lt;0.5,I4&lt;0.5,J4&lt;0.5,K4&lt;0.5)</f>
        <v>0</v>
      </c>
    </row>
    <row r="5" spans="1:13" x14ac:dyDescent="0.25">
      <c r="A5" t="s">
        <v>5</v>
      </c>
      <c r="B5" t="s">
        <v>6</v>
      </c>
      <c r="C5">
        <v>9</v>
      </c>
      <c r="D5">
        <v>20</v>
      </c>
      <c r="E5">
        <v>100</v>
      </c>
      <c r="F5">
        <v>1</v>
      </c>
      <c r="H5" s="2">
        <f t="shared" ref="H5:H20" si="1">C5/C$2</f>
        <v>0.9</v>
      </c>
      <c r="I5" s="2">
        <f t="shared" si="0"/>
        <v>1</v>
      </c>
      <c r="J5" s="2">
        <f t="shared" si="0"/>
        <v>1</v>
      </c>
      <c r="K5" s="2">
        <f t="shared" si="0"/>
        <v>1</v>
      </c>
      <c r="M5" s="2" t="b">
        <f t="shared" ref="M5:M20" si="2">OR(H5&lt;0.5,I5&lt;0.5,J5&lt;0.5,K5&lt;0.5)</f>
        <v>0</v>
      </c>
    </row>
    <row r="6" spans="1:13" x14ac:dyDescent="0.25">
      <c r="A6" t="s">
        <v>7</v>
      </c>
      <c r="B6" t="s">
        <v>8</v>
      </c>
      <c r="C6">
        <v>8</v>
      </c>
      <c r="D6">
        <v>17</v>
      </c>
      <c r="E6">
        <v>82</v>
      </c>
      <c r="F6">
        <v>1</v>
      </c>
      <c r="H6" s="2">
        <f t="shared" si="1"/>
        <v>0.8</v>
      </c>
      <c r="I6" s="2">
        <f t="shared" si="0"/>
        <v>0.85</v>
      </c>
      <c r="J6" s="2">
        <f t="shared" si="0"/>
        <v>0.82</v>
      </c>
      <c r="K6" s="2">
        <f t="shared" si="0"/>
        <v>1</v>
      </c>
      <c r="M6" s="2" t="b">
        <f t="shared" si="2"/>
        <v>0</v>
      </c>
    </row>
    <row r="7" spans="1:13" x14ac:dyDescent="0.25">
      <c r="A7" t="s">
        <v>9</v>
      </c>
      <c r="B7" t="s">
        <v>10</v>
      </c>
      <c r="C7">
        <v>9</v>
      </c>
      <c r="D7">
        <v>10</v>
      </c>
      <c r="E7">
        <v>73</v>
      </c>
      <c r="F7">
        <v>1</v>
      </c>
      <c r="H7" s="2">
        <f t="shared" si="1"/>
        <v>0.9</v>
      </c>
      <c r="I7" s="2">
        <f t="shared" si="0"/>
        <v>0.5</v>
      </c>
      <c r="J7" s="2">
        <f t="shared" si="0"/>
        <v>0.73</v>
      </c>
      <c r="K7" s="2">
        <f t="shared" si="0"/>
        <v>1</v>
      </c>
      <c r="M7" s="2" t="b">
        <f t="shared" si="2"/>
        <v>0</v>
      </c>
    </row>
    <row r="8" spans="1:13" x14ac:dyDescent="0.25">
      <c r="A8" t="s">
        <v>11</v>
      </c>
      <c r="B8" t="s">
        <v>12</v>
      </c>
      <c r="C8">
        <v>10</v>
      </c>
      <c r="D8">
        <v>20</v>
      </c>
      <c r="E8">
        <v>59</v>
      </c>
      <c r="F8">
        <v>1</v>
      </c>
      <c r="H8" s="2">
        <f t="shared" si="1"/>
        <v>1</v>
      </c>
      <c r="I8" s="2">
        <f t="shared" si="0"/>
        <v>1</v>
      </c>
      <c r="J8" s="2">
        <f t="shared" si="0"/>
        <v>0.59</v>
      </c>
      <c r="K8" s="2">
        <f t="shared" si="0"/>
        <v>1</v>
      </c>
      <c r="M8" s="2" t="b">
        <f t="shared" si="2"/>
        <v>0</v>
      </c>
    </row>
    <row r="9" spans="1:13" x14ac:dyDescent="0.25">
      <c r="A9" t="s">
        <v>13</v>
      </c>
      <c r="B9" t="s">
        <v>14</v>
      </c>
      <c r="C9">
        <v>9</v>
      </c>
      <c r="D9">
        <v>17</v>
      </c>
      <c r="E9">
        <v>100</v>
      </c>
      <c r="F9">
        <v>1</v>
      </c>
      <c r="H9" s="2">
        <f t="shared" si="1"/>
        <v>0.9</v>
      </c>
      <c r="I9" s="2">
        <f t="shared" si="0"/>
        <v>0.85</v>
      </c>
      <c r="J9" s="2">
        <f t="shared" si="0"/>
        <v>1</v>
      </c>
      <c r="K9" s="2">
        <f t="shared" si="0"/>
        <v>1</v>
      </c>
      <c r="M9" s="2" t="b">
        <f t="shared" si="2"/>
        <v>0</v>
      </c>
    </row>
    <row r="10" spans="1:13" x14ac:dyDescent="0.25">
      <c r="A10" t="s">
        <v>15</v>
      </c>
      <c r="B10" t="s">
        <v>16</v>
      </c>
      <c r="C10">
        <v>8</v>
      </c>
      <c r="D10">
        <v>10</v>
      </c>
      <c r="E10">
        <v>100</v>
      </c>
      <c r="F10">
        <v>0</v>
      </c>
      <c r="H10" s="2">
        <f t="shared" si="1"/>
        <v>0.8</v>
      </c>
      <c r="I10" s="2">
        <f t="shared" si="0"/>
        <v>0.5</v>
      </c>
      <c r="J10" s="2">
        <f t="shared" si="0"/>
        <v>1</v>
      </c>
      <c r="K10" s="2">
        <f t="shared" si="0"/>
        <v>0</v>
      </c>
      <c r="M10" s="2" t="b">
        <f t="shared" si="2"/>
        <v>1</v>
      </c>
    </row>
    <row r="11" spans="1:13" x14ac:dyDescent="0.25">
      <c r="A11" t="s">
        <v>17</v>
      </c>
      <c r="B11" t="s">
        <v>18</v>
      </c>
      <c r="C11">
        <v>5</v>
      </c>
      <c r="D11">
        <v>6</v>
      </c>
      <c r="E11">
        <v>100</v>
      </c>
      <c r="F11">
        <v>1</v>
      </c>
      <c r="H11" s="2">
        <f t="shared" si="1"/>
        <v>0.5</v>
      </c>
      <c r="I11" s="2">
        <f t="shared" si="0"/>
        <v>0.3</v>
      </c>
      <c r="J11" s="2">
        <f t="shared" si="0"/>
        <v>1</v>
      </c>
      <c r="K11" s="2">
        <f t="shared" si="0"/>
        <v>1</v>
      </c>
      <c r="M11" s="2" t="b">
        <f t="shared" si="2"/>
        <v>1</v>
      </c>
    </row>
    <row r="12" spans="1:13" x14ac:dyDescent="0.25">
      <c r="A12" t="s">
        <v>19</v>
      </c>
      <c r="B12" t="s">
        <v>20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0"/>
        <v>1</v>
      </c>
      <c r="J12" s="2">
        <f t="shared" si="0"/>
        <v>0.67</v>
      </c>
      <c r="K12" s="2">
        <f t="shared" si="0"/>
        <v>1</v>
      </c>
      <c r="M12" s="2" t="b">
        <f t="shared" si="2"/>
        <v>0</v>
      </c>
    </row>
    <row r="13" spans="1:13" x14ac:dyDescent="0.25">
      <c r="A13" t="s">
        <v>21</v>
      </c>
      <c r="B13" t="s">
        <v>22</v>
      </c>
      <c r="C13">
        <v>9</v>
      </c>
      <c r="D13">
        <v>20</v>
      </c>
      <c r="E13">
        <v>70</v>
      </c>
      <c r="F13">
        <v>1</v>
      </c>
      <c r="H13" s="2">
        <f t="shared" si="1"/>
        <v>0.9</v>
      </c>
      <c r="I13" s="2">
        <f t="shared" si="0"/>
        <v>1</v>
      </c>
      <c r="J13" s="2">
        <f t="shared" si="0"/>
        <v>0.7</v>
      </c>
      <c r="K13" s="2">
        <f t="shared" si="0"/>
        <v>1</v>
      </c>
      <c r="M13" s="2" t="b">
        <f t="shared" si="2"/>
        <v>0</v>
      </c>
    </row>
    <row r="14" spans="1:13" x14ac:dyDescent="0.25">
      <c r="A14" t="s">
        <v>23</v>
      </c>
      <c r="B14" t="s">
        <v>24</v>
      </c>
      <c r="C14">
        <v>10</v>
      </c>
      <c r="D14">
        <v>19</v>
      </c>
      <c r="E14">
        <v>80</v>
      </c>
      <c r="F14">
        <v>1</v>
      </c>
      <c r="H14" s="2">
        <f t="shared" si="1"/>
        <v>1</v>
      </c>
      <c r="I14" s="2">
        <f t="shared" si="0"/>
        <v>0.95</v>
      </c>
      <c r="J14" s="2">
        <f t="shared" si="0"/>
        <v>0.8</v>
      </c>
      <c r="K14" s="2">
        <f t="shared" si="0"/>
        <v>1</v>
      </c>
      <c r="M14" s="2" t="b">
        <f t="shared" si="2"/>
        <v>0</v>
      </c>
    </row>
    <row r="15" spans="1:13" x14ac:dyDescent="0.25">
      <c r="A15" t="s">
        <v>25</v>
      </c>
      <c r="B15" t="s">
        <v>26</v>
      </c>
      <c r="C15">
        <v>8</v>
      </c>
      <c r="D15">
        <v>17</v>
      </c>
      <c r="E15">
        <v>90</v>
      </c>
      <c r="F15">
        <v>1</v>
      </c>
      <c r="H15" s="2">
        <f t="shared" si="1"/>
        <v>0.8</v>
      </c>
      <c r="I15" s="2">
        <f t="shared" si="0"/>
        <v>0.85</v>
      </c>
      <c r="J15" s="2">
        <f t="shared" si="0"/>
        <v>0.9</v>
      </c>
      <c r="K15" s="2">
        <f t="shared" si="0"/>
        <v>1</v>
      </c>
      <c r="M15" s="2" t="b">
        <f t="shared" si="2"/>
        <v>0</v>
      </c>
    </row>
    <row r="16" spans="1:13" x14ac:dyDescent="0.25">
      <c r="A16" t="s">
        <v>27</v>
      </c>
      <c r="B16" t="s">
        <v>28</v>
      </c>
      <c r="C16">
        <v>9</v>
      </c>
      <c r="D16">
        <v>19</v>
      </c>
      <c r="E16">
        <v>45</v>
      </c>
      <c r="F16">
        <v>0</v>
      </c>
      <c r="H16" s="2">
        <f t="shared" si="1"/>
        <v>0.9</v>
      </c>
      <c r="I16" s="2">
        <f t="shared" si="0"/>
        <v>0.95</v>
      </c>
      <c r="J16" s="2">
        <f t="shared" si="0"/>
        <v>0.45</v>
      </c>
      <c r="K16" s="2">
        <f t="shared" si="0"/>
        <v>0</v>
      </c>
      <c r="M16" s="2" t="b">
        <f t="shared" si="2"/>
        <v>1</v>
      </c>
    </row>
    <row r="17" spans="1:13" x14ac:dyDescent="0.25">
      <c r="A17" t="s">
        <v>29</v>
      </c>
      <c r="B17" t="s">
        <v>30</v>
      </c>
      <c r="C17">
        <v>7</v>
      </c>
      <c r="D17">
        <v>20</v>
      </c>
      <c r="E17">
        <v>90</v>
      </c>
      <c r="F17">
        <v>1</v>
      </c>
      <c r="H17" s="2">
        <f t="shared" si="1"/>
        <v>0.7</v>
      </c>
      <c r="I17" s="2">
        <f t="shared" si="0"/>
        <v>1</v>
      </c>
      <c r="J17" s="2">
        <f t="shared" si="0"/>
        <v>0.9</v>
      </c>
      <c r="K17" s="2">
        <f t="shared" si="0"/>
        <v>1</v>
      </c>
      <c r="M17" s="2" t="b">
        <f t="shared" si="2"/>
        <v>0</v>
      </c>
    </row>
    <row r="18" spans="1:13" x14ac:dyDescent="0.25">
      <c r="A18" t="s">
        <v>31</v>
      </c>
      <c r="B18" t="s">
        <v>32</v>
      </c>
      <c r="C18">
        <v>10</v>
      </c>
      <c r="D18">
        <v>10</v>
      </c>
      <c r="E18">
        <v>80</v>
      </c>
      <c r="F18">
        <v>1</v>
      </c>
      <c r="H18" s="2">
        <f t="shared" si="1"/>
        <v>1</v>
      </c>
      <c r="I18" s="2">
        <f t="shared" si="0"/>
        <v>0.5</v>
      </c>
      <c r="J18" s="2">
        <f t="shared" si="0"/>
        <v>0.8</v>
      </c>
      <c r="K18" s="2">
        <f t="shared" si="0"/>
        <v>1</v>
      </c>
      <c r="M18" s="2" t="b">
        <f t="shared" si="2"/>
        <v>0</v>
      </c>
    </row>
    <row r="19" spans="1:13" x14ac:dyDescent="0.25">
      <c r="A19" t="s">
        <v>33</v>
      </c>
      <c r="B19" t="s">
        <v>34</v>
      </c>
      <c r="C19">
        <v>11</v>
      </c>
      <c r="D19">
        <v>20</v>
      </c>
      <c r="E19">
        <v>69</v>
      </c>
      <c r="F19">
        <v>1</v>
      </c>
      <c r="H19" s="2">
        <f t="shared" si="1"/>
        <v>1.1000000000000001</v>
      </c>
      <c r="I19" s="2">
        <f t="shared" si="0"/>
        <v>1</v>
      </c>
      <c r="J19" s="2">
        <f t="shared" si="0"/>
        <v>0.69</v>
      </c>
      <c r="K19" s="2">
        <f t="shared" si="0"/>
        <v>1</v>
      </c>
      <c r="M19" s="2" t="b">
        <f t="shared" si="2"/>
        <v>0</v>
      </c>
    </row>
    <row r="20" spans="1:13" x14ac:dyDescent="0.25">
      <c r="A20" t="s">
        <v>35</v>
      </c>
      <c r="B20" t="s">
        <v>36</v>
      </c>
      <c r="C20">
        <v>10</v>
      </c>
      <c r="D20">
        <v>14</v>
      </c>
      <c r="E20">
        <v>90</v>
      </c>
      <c r="F20">
        <v>1</v>
      </c>
      <c r="H20" s="2">
        <f t="shared" si="1"/>
        <v>1</v>
      </c>
      <c r="I20" s="2">
        <f t="shared" ref="I20" si="3">D20/D$2</f>
        <v>0.7</v>
      </c>
      <c r="J20" s="2">
        <f t="shared" ref="J20" si="4">E20/E$2</f>
        <v>0.9</v>
      </c>
      <c r="K20" s="2">
        <f t="shared" ref="K20" si="5">F20/F$2</f>
        <v>1</v>
      </c>
      <c r="M20" s="2" t="b">
        <f t="shared" si="2"/>
        <v>0</v>
      </c>
    </row>
    <row r="22" spans="1:13" x14ac:dyDescent="0.25">
      <c r="A22" t="s">
        <v>43</v>
      </c>
      <c r="C22">
        <f>MAX(C4:C20)</f>
        <v>11</v>
      </c>
      <c r="D22">
        <f>MAX(D4:D20)</f>
        <v>20</v>
      </c>
      <c r="E22">
        <f>MAX(E4:E20)</f>
        <v>100</v>
      </c>
      <c r="F22">
        <f>MAX(F4:F20)</f>
        <v>1</v>
      </c>
      <c r="H22" s="2">
        <f>MAX(H4:H20)</f>
        <v>1.1000000000000001</v>
      </c>
      <c r="I22" s="2">
        <f>MAX(I4:I20)</f>
        <v>1</v>
      </c>
      <c r="J22" s="2">
        <f>MAX(J4:J20)</f>
        <v>1</v>
      </c>
      <c r="K22" s="2">
        <f>MAX(K4:K20)</f>
        <v>1</v>
      </c>
    </row>
    <row r="23" spans="1:13" x14ac:dyDescent="0.25">
      <c r="A23" t="s">
        <v>42</v>
      </c>
      <c r="C23">
        <f>MIN(C4:C20)</f>
        <v>5</v>
      </c>
      <c r="D23">
        <f>MIN(D4:D20)</f>
        <v>6</v>
      </c>
      <c r="E23">
        <f>MIN(E4:E20)</f>
        <v>45</v>
      </c>
      <c r="F23">
        <f>MIN(F4:F20)</f>
        <v>0</v>
      </c>
      <c r="H23" s="2">
        <f>MIN(H4:H20)</f>
        <v>0.5</v>
      </c>
      <c r="I23" s="2">
        <f>MIN(I4:I20)</f>
        <v>0.3</v>
      </c>
      <c r="J23" s="2">
        <f>MIN(J4:J20)</f>
        <v>0.45</v>
      </c>
      <c r="K23" s="2">
        <f>MIN(K4:K20)</f>
        <v>0</v>
      </c>
    </row>
    <row r="24" spans="1:13" x14ac:dyDescent="0.25">
      <c r="A24" t="s">
        <v>44</v>
      </c>
      <c r="C24">
        <f>AVERAGE(C4:C20)</f>
        <v>8.9411764705882355</v>
      </c>
      <c r="D24">
        <f>AVERAGE(D4:D20)</f>
        <v>16.352941176470587</v>
      </c>
      <c r="E24">
        <f>AVERAGE(E4:E20)</f>
        <v>81.647058823529406</v>
      </c>
      <c r="F24">
        <f>AVERAGE(F4:F20)</f>
        <v>0.88235294117647056</v>
      </c>
      <c r="H24" s="2">
        <f>AVERAGE(H4:H20)</f>
        <v>0.89411764705882346</v>
      </c>
      <c r="I24" s="2">
        <f>AVERAGE(I4:I20)</f>
        <v>0.81764705882352917</v>
      </c>
      <c r="J24" s="2">
        <f>AVERAGE(J4:J20)</f>
        <v>0.81647058823529417</v>
      </c>
      <c r="K24" s="2">
        <f>AVERAGE(K4:K20)</f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pageSetup scale="4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cp:lastPrinted>2026-01-23T00:14:30Z</cp:lastPrinted>
  <dcterms:created xsi:type="dcterms:W3CDTF">2026-01-22T17:20:41Z</dcterms:created>
  <dcterms:modified xsi:type="dcterms:W3CDTF">2026-02-01T20:57:45Z</dcterms:modified>
</cp:coreProperties>
</file>