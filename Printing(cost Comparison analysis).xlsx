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7BAED40-CCD2-471B-AF87-45A3BF42E99E}" xr6:coauthVersionLast="47" xr6:coauthVersionMax="47" xr10:uidLastSave="{00000000-0000-0000-0000-000000000000}"/>
  <bookViews>
    <workbookView xWindow="-120" yWindow="-120" windowWidth="20730" windowHeight="11160" xr2:uid="{7EB7CDAF-EBF8-48C3-9F6D-91672584F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1" l="1"/>
  <c r="H15" i="1" s="1"/>
  <c r="H17" i="1" s="1"/>
  <c r="H19" i="1" s="1"/>
  <c r="I13" i="1"/>
  <c r="G13" i="1"/>
  <c r="I15" i="1"/>
  <c r="I17" i="1" s="1"/>
  <c r="I19" i="1" s="1"/>
  <c r="I11" i="1"/>
  <c r="H11" i="1"/>
  <c r="G11" i="1"/>
  <c r="I6" i="1"/>
  <c r="H6" i="1"/>
  <c r="G6" i="1"/>
  <c r="G15" i="1" s="1"/>
  <c r="G17" i="1" s="1"/>
  <c r="G19" i="1" s="1"/>
  <c r="C17" i="1"/>
  <c r="D17" i="1"/>
  <c r="D19" i="1" s="1"/>
  <c r="C19" i="1"/>
  <c r="B17" i="1"/>
  <c r="C15" i="1"/>
  <c r="D15" i="1"/>
  <c r="B15" i="1"/>
  <c r="B19" i="1" s="1"/>
  <c r="C6" i="1"/>
  <c r="D6" i="1"/>
  <c r="B6" i="1"/>
  <c r="C11" i="1"/>
  <c r="D11" i="1"/>
  <c r="B11" i="1"/>
</calcChain>
</file>

<file path=xl/sharedStrings.xml><?xml version="1.0" encoding="utf-8"?>
<sst xmlns="http://schemas.openxmlformats.org/spreadsheetml/2006/main" count="40" uniqueCount="18">
  <si>
    <t>Susan</t>
  </si>
  <si>
    <t>Purchase Price</t>
  </si>
  <si>
    <t>Epsilon</t>
  </si>
  <si>
    <t>Cost per Page</t>
  </si>
  <si>
    <t>Expected Pages per day</t>
  </si>
  <si>
    <t>Days in week</t>
  </si>
  <si>
    <t>Weeks in year</t>
  </si>
  <si>
    <t>Total Pages in Year</t>
  </si>
  <si>
    <t>Pages per Year</t>
  </si>
  <si>
    <t>Printing cost per Year</t>
  </si>
  <si>
    <t>Years</t>
  </si>
  <si>
    <t>Total printing Cost</t>
  </si>
  <si>
    <t>Zero</t>
  </si>
  <si>
    <t>Total Cost</t>
  </si>
  <si>
    <t>Pages Cartridge can print</t>
  </si>
  <si>
    <t>HP</t>
  </si>
  <si>
    <t>Ink Set/Toner set supplies Price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</si>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</sst>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44" fontId="0" fillId="2" borderId="0" xfId="1" applyFont="1" applyFill="1"/>
    <xf numFmtId="0" fontId="0" fillId="3" borderId="0" xfId="0" applyFill="1"/>
    <xf numFmtId="44" fontId="0" fillId="3" borderId="0" xfId="1" applyFont="1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44" fontId="0" fillId="3" borderId="0" xfId="0" applyNumberFormat="1" applyFill="1"/>
    <xf numFmtId="44" fontId="0" fillId="5" borderId="0" xfId="0" applyNumberFormat="1" applyFill="1"/>
    <xf numFmtId="44" fontId="0" fillId="6" borderId="0" xfId="0" applyNumberFormat="1" applyFill="1"/>
    <xf numFmtId="44" fontId="0" fillId="7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SUSAN'S printer purchase comparison</a:t>
            </a:r>
          </a:p>
        </c:rich>
      </c:tx>
      <c:layout>
        <c:manualLayout>
          <c:xMode val="edge"/>
          <c:yMode val="edge"/>
          <c:x val="0.1954999999999999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Sheet1!$B$18:$D$18</c:f>
              <c:strCache>
                <c:ptCount val="3"/>
                <c:pt idx="0">
                  <c:v>Epsilon</c:v>
                </c:pt>
                <c:pt idx="1">
                  <c:v>HP</c:v>
                </c:pt>
                <c:pt idx="2">
                  <c:v>Zero</c:v>
                </c:pt>
              </c:strCache>
            </c:strRef>
          </c:cat>
          <c:val>
            <c:numRef>
              <c:f>Sheet1!$B$19:$D$19</c:f>
              <c:numCache>
                <c:formatCode>_("$"* #,##0.00_);_("$"* \(#,##0.00\);_("$"* "-"??_);_(@_)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801.27272727272725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4-40C7-9526-7C9D79FD59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510704"/>
        <c:axId val="178511664"/>
      </c:barChart>
      <c:catAx>
        <c:axId val="1785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1664"/>
        <c:crosses val="autoZero"/>
        <c:auto val="1"/>
        <c:lblAlgn val="ctr"/>
        <c:lblOffset val="100"/>
        <c:noMultiLvlLbl val="0"/>
      </c:catAx>
      <c:valAx>
        <c:axId val="17851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TIM'S printer purchase comparison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Sheet1!$G$18:$I$18</c:f>
              <c:strCache>
                <c:ptCount val="3"/>
                <c:pt idx="0">
                  <c:v>Epsilon</c:v>
                </c:pt>
                <c:pt idx="1">
                  <c:v>HP</c:v>
                </c:pt>
                <c:pt idx="2">
                  <c:v>Zero</c:v>
                </c:pt>
              </c:strCache>
            </c:strRef>
          </c:cat>
          <c:val>
            <c:numRef>
              <c:f>Sheet1!$G$19:$I$19</c:f>
              <c:numCache>
                <c:formatCode>_("$"* #,##0.00_);_("$"* \(#,##0.00\);_("$"* "-"??_);_(@_)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8958.0909090909099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5-4099-91E7-88FFA2B311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8609264"/>
        <c:axId val="422501616"/>
      </c:barChart>
      <c:catAx>
        <c:axId val="51860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01616"/>
        <c:crosses val="autoZero"/>
        <c:auto val="1"/>
        <c:lblAlgn val="ctr"/>
        <c:lblOffset val="100"/>
        <c:noMultiLvlLbl val="0"/>
      </c:catAx>
      <c:valAx>
        <c:axId val="42250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0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147637</xdr:rowOff>
    </xdr:from>
    <xdr:to>
      <xdr:col>4</xdr:col>
      <xdr:colOff>219075</xdr:colOff>
      <xdr:row>34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91B1D-3582-7547-5639-D2A6689B9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4762</xdr:rowOff>
    </xdr:from>
    <xdr:to>
      <xdr:col>9</xdr:col>
      <xdr:colOff>400050</xdr:colOff>
      <xdr:row>34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93C906-7787-1BDC-4454-D7405C2B6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7FE5-03A2-4459-B23D-EEBBCE1098E2}">
  <dimension ref="A1:I19"/>
  <sheetViews>
    <sheetView tabSelected="1" topLeftCell="A15" workbookViewId="0">
      <selection activeCell="M21" sqref="M21"/>
    </sheetView>
  </sheetViews>
  <sheetFormatPr defaultRowHeight="15" x14ac:dyDescent="0.25"/>
  <cols>
    <col min="1" max="1" width="28.85546875" bestFit="1" customWidth="1"/>
    <col min="2" max="2" width="10.5703125" bestFit="1" customWidth="1"/>
    <col min="3" max="3" width="11.5703125" bestFit="1" customWidth="1"/>
    <col min="4" max="4" width="14.28515625" bestFit="1" customWidth="1"/>
    <col min="6" max="6" width="28.85546875" bestFit="1" customWidth="1"/>
    <col min="7" max="8" width="11.5703125" bestFit="1" customWidth="1"/>
    <col min="9" max="9" width="10.5703125" bestFit="1" customWidth="1"/>
  </cols>
  <sheetData>
    <row r="1" spans="1:9" x14ac:dyDescent="0.25">
      <c r="A1" t="s">
        <v>0</v>
      </c>
      <c r="B1" t="s">
        <v>2</v>
      </c>
      <c r="C1" t="s">
        <v>15</v>
      </c>
      <c r="D1" t="s">
        <v>12</v>
      </c>
      <c r="F1" t="s">
        <v>17</v>
      </c>
      <c r="G1" t="s">
        <v>2</v>
      </c>
      <c r="H1" t="s">
        <v>15</v>
      </c>
      <c r="I1" t="s">
        <v>12</v>
      </c>
    </row>
    <row r="2" spans="1:9" x14ac:dyDescent="0.25">
      <c r="A2" s="1" t="s">
        <v>1</v>
      </c>
      <c r="B2" s="2">
        <v>29</v>
      </c>
      <c r="C2" s="2">
        <v>149</v>
      </c>
      <c r="D2" s="2">
        <v>549</v>
      </c>
      <c r="F2" s="1" t="s">
        <v>1</v>
      </c>
      <c r="G2" s="2">
        <v>29</v>
      </c>
      <c r="H2" s="2">
        <v>149</v>
      </c>
      <c r="I2" s="2">
        <v>549</v>
      </c>
    </row>
    <row r="4" spans="1:9" x14ac:dyDescent="0.25">
      <c r="A4" s="3" t="s">
        <v>16</v>
      </c>
      <c r="B4" s="4">
        <v>40</v>
      </c>
      <c r="C4" s="4">
        <v>90</v>
      </c>
      <c r="D4" s="4">
        <v>370</v>
      </c>
      <c r="F4" s="3" t="s">
        <v>16</v>
      </c>
      <c r="G4" s="4">
        <v>40</v>
      </c>
      <c r="H4" s="4">
        <v>90</v>
      </c>
      <c r="I4" s="4">
        <v>370</v>
      </c>
    </row>
    <row r="5" spans="1:9" x14ac:dyDescent="0.25">
      <c r="A5" s="3" t="s">
        <v>14</v>
      </c>
      <c r="B5" s="3">
        <v>200</v>
      </c>
      <c r="C5" s="3">
        <v>1000</v>
      </c>
      <c r="D5" s="3">
        <v>11000</v>
      </c>
      <c r="F5" s="3" t="s">
        <v>14</v>
      </c>
      <c r="G5" s="3">
        <v>200</v>
      </c>
      <c r="H5" s="3">
        <v>1000</v>
      </c>
      <c r="I5" s="3">
        <v>11000</v>
      </c>
    </row>
    <row r="6" spans="1:9" x14ac:dyDescent="0.25">
      <c r="A6" s="3" t="s">
        <v>3</v>
      </c>
      <c r="B6" s="10">
        <f>B4/B5</f>
        <v>0.2</v>
      </c>
      <c r="C6" s="10">
        <f t="shared" ref="C6:D6" si="0">C4/C5</f>
        <v>0.09</v>
      </c>
      <c r="D6" s="10">
        <f t="shared" si="0"/>
        <v>3.3636363636363638E-2</v>
      </c>
      <c r="F6" s="3" t="s">
        <v>3</v>
      </c>
      <c r="G6" s="10">
        <f>G4/G5</f>
        <v>0.2</v>
      </c>
      <c r="H6" s="10">
        <f t="shared" ref="H6" si="1">H4/H5</f>
        <v>0.09</v>
      </c>
      <c r="I6" s="10">
        <f t="shared" ref="I6" si="2">I4/I5</f>
        <v>3.3636363636363638E-2</v>
      </c>
    </row>
    <row r="8" spans="1:9" x14ac:dyDescent="0.25">
      <c r="A8" s="5" t="s">
        <v>4</v>
      </c>
      <c r="B8" s="5">
        <v>15</v>
      </c>
      <c r="C8" s="5">
        <v>15</v>
      </c>
      <c r="D8" s="5">
        <v>15</v>
      </c>
      <c r="F8" s="5" t="s">
        <v>4</v>
      </c>
      <c r="G8" s="5">
        <v>500</v>
      </c>
      <c r="H8" s="5">
        <v>500</v>
      </c>
      <c r="I8" s="5">
        <v>500</v>
      </c>
    </row>
    <row r="9" spans="1:9" x14ac:dyDescent="0.25">
      <c r="A9" s="5" t="s">
        <v>5</v>
      </c>
      <c r="B9" s="5">
        <v>5</v>
      </c>
      <c r="C9" s="5">
        <v>5</v>
      </c>
      <c r="D9" s="5">
        <v>5</v>
      </c>
      <c r="F9" s="5" t="s">
        <v>5</v>
      </c>
      <c r="G9" s="5">
        <v>5</v>
      </c>
      <c r="H9" s="5">
        <v>5</v>
      </c>
      <c r="I9" s="5">
        <v>5</v>
      </c>
    </row>
    <row r="10" spans="1:9" x14ac:dyDescent="0.25">
      <c r="A10" s="5" t="s">
        <v>6</v>
      </c>
      <c r="B10" s="5">
        <v>50</v>
      </c>
      <c r="C10" s="5">
        <v>50</v>
      </c>
      <c r="D10" s="5">
        <v>50</v>
      </c>
      <c r="F10" s="5" t="s">
        <v>6</v>
      </c>
      <c r="G10" s="5">
        <v>50</v>
      </c>
      <c r="H10" s="5">
        <v>50</v>
      </c>
      <c r="I10" s="5">
        <v>50</v>
      </c>
    </row>
    <row r="11" spans="1:9" x14ac:dyDescent="0.25">
      <c r="A11" s="5" t="s">
        <v>7</v>
      </c>
      <c r="B11" s="5">
        <f>B8*B9*B10</f>
        <v>3750</v>
      </c>
      <c r="C11" s="5">
        <f t="shared" ref="C11:D11" si="3">C8*C9*C10</f>
        <v>3750</v>
      </c>
      <c r="D11" s="5">
        <f t="shared" si="3"/>
        <v>3750</v>
      </c>
      <c r="F11" s="5" t="s">
        <v>7</v>
      </c>
      <c r="G11" s="5">
        <f>G8*G9*G10</f>
        <v>125000</v>
      </c>
      <c r="H11" s="5">
        <f t="shared" ref="H11" si="4">H8*H9*H10</f>
        <v>125000</v>
      </c>
      <c r="I11" s="5">
        <f t="shared" ref="I11" si="5">I8*I9*I10</f>
        <v>125000</v>
      </c>
    </row>
    <row r="13" spans="1:9" x14ac:dyDescent="0.25">
      <c r="A13" s="6" t="s">
        <v>8</v>
      </c>
      <c r="B13" s="6">
        <v>3750</v>
      </c>
      <c r="C13" s="6">
        <v>3750</v>
      </c>
      <c r="D13" s="6">
        <v>3750</v>
      </c>
      <c r="F13" s="6" t="s">
        <v>8</v>
      </c>
      <c r="G13" s="6">
        <f>G11</f>
        <v>125000</v>
      </c>
      <c r="H13" s="6">
        <f t="shared" ref="H13:I13" si="6">H11</f>
        <v>125000</v>
      </c>
      <c r="I13" s="6">
        <f t="shared" si="6"/>
        <v>125000</v>
      </c>
    </row>
    <row r="14" spans="1:9" x14ac:dyDescent="0.25">
      <c r="A14" s="6" t="s">
        <v>10</v>
      </c>
      <c r="B14" s="6">
        <v>2</v>
      </c>
      <c r="C14" s="6">
        <v>2</v>
      </c>
      <c r="D14" s="6">
        <v>2</v>
      </c>
      <c r="F14" s="6" t="s">
        <v>10</v>
      </c>
      <c r="G14" s="6">
        <v>2</v>
      </c>
      <c r="H14" s="6">
        <v>2</v>
      </c>
      <c r="I14" s="6">
        <v>2</v>
      </c>
    </row>
    <row r="15" spans="1:9" x14ac:dyDescent="0.25">
      <c r="A15" s="6" t="s">
        <v>9</v>
      </c>
      <c r="B15" s="11">
        <f>B13*B6</f>
        <v>750</v>
      </c>
      <c r="C15" s="11">
        <f t="shared" ref="C15:D15" si="7">C13*C6</f>
        <v>337.5</v>
      </c>
      <c r="D15" s="11">
        <f t="shared" si="7"/>
        <v>126.13636363636364</v>
      </c>
      <c r="F15" s="6" t="s">
        <v>9</v>
      </c>
      <c r="G15" s="11">
        <f>G13*G6</f>
        <v>25000</v>
      </c>
      <c r="H15" s="11">
        <f t="shared" ref="H15:I15" si="8">H13*H6</f>
        <v>11250</v>
      </c>
      <c r="I15" s="11">
        <f t="shared" si="8"/>
        <v>4204.545454545455</v>
      </c>
    </row>
    <row r="16" spans="1:9" x14ac:dyDescent="0.25">
      <c r="A16" s="7"/>
      <c r="B16" s="7"/>
      <c r="C16" s="7"/>
      <c r="D16" s="7"/>
      <c r="F16" s="7"/>
      <c r="G16" s="7"/>
      <c r="H16" s="7"/>
      <c r="I16" s="7"/>
    </row>
    <row r="17" spans="1:9" x14ac:dyDescent="0.25">
      <c r="A17" s="8" t="s">
        <v>11</v>
      </c>
      <c r="B17" s="12">
        <f>B15*B14</f>
        <v>1500</v>
      </c>
      <c r="C17" s="12">
        <f t="shared" ref="C17:D17" si="9">C15*C14</f>
        <v>675</v>
      </c>
      <c r="D17" s="12">
        <f t="shared" si="9"/>
        <v>252.27272727272728</v>
      </c>
      <c r="F17" s="8" t="s">
        <v>11</v>
      </c>
      <c r="G17" s="12">
        <f>G15*G14</f>
        <v>50000</v>
      </c>
      <c r="H17" s="12">
        <f t="shared" ref="H17:I17" si="10">H15*H14</f>
        <v>22500</v>
      </c>
      <c r="I17" s="12">
        <f t="shared" si="10"/>
        <v>8409.0909090909099</v>
      </c>
    </row>
    <row r="18" spans="1:9" x14ac:dyDescent="0.25">
      <c r="B18" s="9" t="s">
        <v>2</v>
      </c>
      <c r="C18" s="9" t="s">
        <v>15</v>
      </c>
      <c r="D18" s="9" t="s">
        <v>12</v>
      </c>
      <c r="G18" s="9" t="s">
        <v>2</v>
      </c>
      <c r="H18" s="9" t="s">
        <v>15</v>
      </c>
      <c r="I18" s="9" t="s">
        <v>12</v>
      </c>
    </row>
    <row r="19" spans="1:9" x14ac:dyDescent="0.25">
      <c r="A19" s="9" t="s">
        <v>13</v>
      </c>
      <c r="B19" s="13">
        <f>B17+B2</f>
        <v>1529</v>
      </c>
      <c r="C19" s="13">
        <f t="shared" ref="C19:D19" si="11">C17+C2</f>
        <v>824</v>
      </c>
      <c r="D19" s="13">
        <f t="shared" si="11"/>
        <v>801.27272727272725</v>
      </c>
      <c r="F19" s="9" t="s">
        <v>13</v>
      </c>
      <c r="G19" s="13">
        <f>G17+G2</f>
        <v>50029</v>
      </c>
      <c r="H19" s="13">
        <f t="shared" ref="H19:I19" si="12">H17+H2</f>
        <v>22649</v>
      </c>
      <c r="I19" s="13">
        <f t="shared" si="12"/>
        <v>8958.0909090909099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cduru876@gmail.com</dc:creator>
  <cp:lastModifiedBy>cduru876@gmail.com</cp:lastModifiedBy>
  <dcterms:created xsi:type="dcterms:W3CDTF">2026-02-05T03:40:15Z</dcterms:created>
  <dcterms:modified xsi:type="dcterms:W3CDTF">2026-02-05T05:37:14Z</dcterms:modified>
</cp:coreProperties>
</file>