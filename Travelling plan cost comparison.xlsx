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BD655C64-4920-47FA-B5FA-547DA9D1C544}" xr6:coauthVersionLast="47" xr6:coauthVersionMax="47" xr10:uidLastSave="{00000000-0000-0000-0000-000000000000}"/>
  <bookViews>
    <workbookView xWindow="-120" yWindow="-120" windowWidth="20730" windowHeight="11160" xr2:uid="{1FD9640D-6100-4A65-AB42-6DD8E7317C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3" i="1" l="1"/>
  <c r="I33" i="1"/>
  <c r="I40" i="1" s="1"/>
  <c r="H40" i="1"/>
  <c r="G40" i="1"/>
  <c r="C40" i="1"/>
  <c r="D40" i="1"/>
  <c r="B40" i="1"/>
  <c r="H25" i="1"/>
  <c r="G25" i="1"/>
  <c r="G33" i="1"/>
  <c r="H31" i="1"/>
  <c r="I31" i="1"/>
  <c r="G31" i="1"/>
  <c r="G38" i="1"/>
  <c r="B38" i="1"/>
  <c r="C33" i="1"/>
  <c r="B33" i="1"/>
  <c r="C31" i="1"/>
  <c r="B31" i="1"/>
  <c r="D33" i="1"/>
  <c r="C38" i="1"/>
  <c r="D38" i="1"/>
  <c r="H38" i="1"/>
  <c r="I38" i="1"/>
  <c r="C25" i="1"/>
  <c r="D25" i="1"/>
  <c r="B25" i="1"/>
  <c r="G20" i="1"/>
  <c r="I25" i="1"/>
  <c r="I18" i="1"/>
  <c r="I20" i="1" s="1"/>
  <c r="H18" i="1"/>
  <c r="H20" i="1" s="1"/>
  <c r="G18" i="1"/>
  <c r="C18" i="1"/>
  <c r="C20" i="1" s="1"/>
  <c r="D18" i="1"/>
  <c r="D20" i="1"/>
  <c r="B18" i="1"/>
  <c r="B20" i="1" s="1"/>
</calcChain>
</file>

<file path=xl/sharedStrings.xml><?xml version="1.0" encoding="utf-8"?>
<sst xmlns="http://schemas.openxmlformats.org/spreadsheetml/2006/main" count="66" uniqueCount="34">
  <si>
    <t>Chicago Museum</t>
  </si>
  <si>
    <t>Orlando Theatre</t>
  </si>
  <si>
    <t>Miami Cruise</t>
  </si>
  <si>
    <t>Susan</t>
  </si>
  <si>
    <t>Per Person Expenses</t>
  </si>
  <si>
    <t>Air Fare</t>
  </si>
  <si>
    <t>Natural History</t>
  </si>
  <si>
    <t>Chicago Museum Of Art</t>
  </si>
  <si>
    <t>Science Museum</t>
  </si>
  <si>
    <t>Museum Of Broadcast History</t>
  </si>
  <si>
    <t>Disneyland</t>
  </si>
  <si>
    <t>Universal Studio</t>
  </si>
  <si>
    <t>Sea World</t>
  </si>
  <si>
    <t xml:space="preserve">Busch Gardens </t>
  </si>
  <si>
    <t>Cruise</t>
  </si>
  <si>
    <t>Subtotal of Tickets (per person)</t>
  </si>
  <si>
    <t>Number of people in group</t>
  </si>
  <si>
    <t>Total cost of tickets</t>
  </si>
  <si>
    <t>Hotel Expenses</t>
  </si>
  <si>
    <t>Hotel cost per night</t>
  </si>
  <si>
    <t>Number of nights</t>
  </si>
  <si>
    <t>Hotel Total</t>
  </si>
  <si>
    <t>Car Rental</t>
  </si>
  <si>
    <t>Food</t>
  </si>
  <si>
    <t>Cost Per Day</t>
  </si>
  <si>
    <t>Number of People in Group</t>
  </si>
  <si>
    <t>Number of Days</t>
  </si>
  <si>
    <t>Food Total</t>
  </si>
  <si>
    <t>Car Rental Cost</t>
  </si>
  <si>
    <t>Car Rental Total</t>
  </si>
  <si>
    <t>Tim</t>
  </si>
  <si>
    <t>Subtotal of Food</t>
  </si>
  <si>
    <t>Sum total of all of Susan's expenses</t>
  </si>
  <si>
    <t>Sum total of all of Tim's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</si>
</sst>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2" borderId="0" xfId="0" applyFont="1" applyFill="1"/>
    <xf numFmtId="44" fontId="0" fillId="2" borderId="0" xfId="1" applyFont="1" applyFill="1"/>
    <xf numFmtId="44" fontId="0" fillId="3" borderId="0" xfId="0" applyNumberFormat="1" applyFill="1"/>
    <xf numFmtId="44" fontId="0" fillId="4" borderId="0" xfId="1" applyFont="1" applyFill="1"/>
    <xf numFmtId="44" fontId="0" fillId="5" borderId="0" xfId="1" applyFont="1" applyFill="1"/>
    <xf numFmtId="44" fontId="0" fillId="6" borderId="0" xfId="1" applyFont="1" applyFill="1"/>
    <xf numFmtId="44" fontId="0" fillId="5" borderId="0" xfId="0" applyNumberFormat="1" applyFill="1"/>
    <xf numFmtId="44" fontId="0" fillId="4" borderId="0" xfId="0" applyNumberFormat="1" applyFill="1"/>
    <xf numFmtId="44" fontId="0" fillId="6" borderId="0" xfId="0" applyNumberFormat="1" applyFill="1"/>
    <xf numFmtId="0" fontId="0" fillId="5" borderId="0" xfId="1" applyNumberFormat="1" applyFont="1" applyFill="1"/>
    <xf numFmtId="0" fontId="0" fillId="0" borderId="0" xfId="0" applyNumberFormat="1"/>
    <xf numFmtId="0" fontId="0" fillId="5" borderId="0" xfId="0" applyNumberFormat="1" applyFill="1"/>
    <xf numFmtId="0" fontId="0" fillId="6" borderId="0" xfId="1" applyNumberFormat="1" applyFont="1" applyFill="1"/>
    <xf numFmtId="0" fontId="0" fillId="6" borderId="0" xfId="0" applyNumberFormat="1" applyFill="1"/>
    <xf numFmtId="0" fontId="0" fillId="4" borderId="0" xfId="0" applyNumberFormat="1" applyFill="1"/>
    <xf numFmtId="0" fontId="0" fillId="4" borderId="0" xfId="1" applyNumberFormat="1" applyFont="1" applyFill="1"/>
    <xf numFmtId="44" fontId="0" fillId="5" borderId="0" xfId="1" applyNumberFormat="1" applyFont="1" applyFill="1"/>
    <xf numFmtId="0" fontId="0" fillId="7" borderId="0" xfId="0" applyFill="1"/>
    <xf numFmtId="44" fontId="0" fillId="7" borderId="0" xfId="0" applyNumberFormat="1" applyFill="1"/>
    <xf numFmtId="0" fontId="0" fillId="8" borderId="0" xfId="0" applyFill="1"/>
    <xf numFmtId="44" fontId="0" fillId="8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400" b="0" i="0" u="none" strike="noStrike" baseline="0">
                <a:effectLst/>
              </a:rPr>
              <a:t>Sum total of all of Tim's Expenses</a:t>
            </a:r>
            <a:r>
              <a:rPr lang="en-US" sz="1400" b="0" i="0" u="none" strike="noStrike" baseline="0"/>
              <a:t> </a:t>
            </a:r>
            <a:r>
              <a:rPr lang="en-US"/>
              <a:t>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Sheet1!$G$1:$I$1</c:f>
              <c:strCache>
                <c:ptCount val="3"/>
                <c:pt idx="0">
                  <c:v>Chicago Museum</c:v>
                </c:pt>
                <c:pt idx="1">
                  <c:v>Orlando Theatre</c:v>
                </c:pt>
                <c:pt idx="2">
                  <c:v>Miami Cruise</c:v>
                </c:pt>
              </c:strCache>
            </c:strRef>
          </c:cat>
          <c:val>
            <c:numRef>
              <c:f>Sheet1!$G$40:$I$40</c:f>
              <c:numCache>
                <c:formatCode>_("$"* #,##0.00_);_("$"* \(#,##0.00\);_("$"* "-"??_);_(@_)</c:formatCode>
                <c:ptCount val="3"/>
                <c:pt idx="0">
                  <c:v>2591</c:v>
                </c:pt>
                <c:pt idx="1">
                  <c:v>2667</c:v>
                </c:pt>
                <c:pt idx="2">
                  <c:v>2715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7-4A8C-9ED6-85E1A094A7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8657584"/>
        <c:axId val="828659024"/>
      </c:barChart>
      <c:catAx>
        <c:axId val="82865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659024"/>
        <c:crosses val="autoZero"/>
        <c:auto val="1"/>
        <c:lblAlgn val="ctr"/>
        <c:lblOffset val="100"/>
        <c:noMultiLvlLbl val="0"/>
      </c:catAx>
      <c:valAx>
        <c:axId val="82865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65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Sum total of all of Susan's expenses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Sheet1!$B$1:$D$1</c:f>
              <c:strCache>
                <c:ptCount val="3"/>
                <c:pt idx="0">
                  <c:v>Chicago Museum</c:v>
                </c:pt>
                <c:pt idx="1">
                  <c:v>Orlando Theatre</c:v>
                </c:pt>
                <c:pt idx="2">
                  <c:v>Miami Cruise</c:v>
                </c:pt>
              </c:strCache>
            </c:strRef>
          </c:cat>
          <c:val>
            <c:numRef>
              <c:f>Sheet1!$B$40:$D$40</c:f>
              <c:numCache>
                <c:formatCode>_("$"* #,##0.00_);_("$"* \(#,##0.00\);_("$"* "-"??_);_(@_)</c:formatCode>
                <c:ptCount val="3"/>
                <c:pt idx="0">
                  <c:v>1994</c:v>
                </c:pt>
                <c:pt idx="1">
                  <c:v>1953</c:v>
                </c:pt>
                <c:pt idx="2">
                  <c:v>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D-4DC1-84C2-33AC51314F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8783040"/>
        <c:axId val="828784480"/>
      </c:barChart>
      <c:catAx>
        <c:axId val="82878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784480"/>
        <c:crosses val="autoZero"/>
        <c:auto val="1"/>
        <c:lblAlgn val="ctr"/>
        <c:lblOffset val="100"/>
        <c:noMultiLvlLbl val="0"/>
      </c:catAx>
      <c:valAx>
        <c:axId val="82878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78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550333</xdr:colOff>
      <xdr:row>40</xdr:row>
      <xdr:rowOff>115358</xdr:rowOff>
    </xdr:from>
    <xdr:to>
      <xdr:col>8</xdr:col>
      <xdr:colOff>465667</xdr:colOff>
      <xdr:row>55</xdr:row>
      <xdr:rowOff>1058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E02B82-44C5-BC12-169E-9C4872FAC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264584</xdr:colOff>
      <xdr:row>40</xdr:row>
      <xdr:rowOff>115357</xdr:rowOff>
    </xdr:from>
    <xdr:to>
      <xdr:col>3</xdr:col>
      <xdr:colOff>793751</xdr:colOff>
      <xdr:row>55</xdr:row>
      <xdr:rowOff>1057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5318E0-B05E-B29A-756F-1C19A073E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B508C-562E-40E4-9751-B1E7A6639367}">
  <dimension ref="A1:I40"/>
  <sheetViews>
    <sheetView tabSelected="1" zoomScale="90" zoomScaleNormal="90" workbookViewId="0">
      <selection activeCell="J26" sqref="J26"/>
    </sheetView>
  </sheetViews>
  <sheetFormatPr defaultRowHeight="15" x14ac:dyDescent="0.25"/>
  <cols>
    <col min="1" max="1" width="28.85546875" bestFit="1" customWidth="1"/>
    <col min="2" max="2" width="16.28515625" bestFit="1" customWidth="1"/>
    <col min="3" max="3" width="15.42578125" bestFit="1" customWidth="1"/>
    <col min="4" max="4" width="12.5703125" bestFit="1" customWidth="1"/>
    <col min="6" max="6" width="28.85546875" bestFit="1" customWidth="1"/>
    <col min="7" max="7" width="16.28515625" bestFit="1" customWidth="1"/>
    <col min="8" max="8" width="15.42578125" bestFit="1" customWidth="1"/>
    <col min="9" max="9" width="12.5703125" bestFit="1" customWidth="1"/>
  </cols>
  <sheetData>
    <row r="1" spans="1:9" x14ac:dyDescent="0.25">
      <c r="A1" t="s">
        <v>3</v>
      </c>
      <c r="B1" t="s">
        <v>0</v>
      </c>
      <c r="C1" t="s">
        <v>1</v>
      </c>
      <c r="D1" t="s">
        <v>2</v>
      </c>
      <c r="F1" t="s">
        <v>30</v>
      </c>
      <c r="G1" t="s">
        <v>0</v>
      </c>
      <c r="H1" t="s">
        <v>1</v>
      </c>
      <c r="I1" t="s">
        <v>2</v>
      </c>
    </row>
    <row r="5" spans="1:9" x14ac:dyDescent="0.25">
      <c r="A5" s="6" t="s">
        <v>4</v>
      </c>
      <c r="B5" s="1"/>
      <c r="C5" s="1"/>
      <c r="D5" s="1"/>
      <c r="F5" s="6" t="s">
        <v>4</v>
      </c>
      <c r="G5" s="1"/>
      <c r="H5" s="1"/>
      <c r="I5" s="1"/>
    </row>
    <row r="6" spans="1:9" x14ac:dyDescent="0.25">
      <c r="A6" s="1" t="s">
        <v>5</v>
      </c>
      <c r="B6" s="7">
        <v>280</v>
      </c>
      <c r="C6" s="7">
        <v>100</v>
      </c>
      <c r="D6" s="7">
        <v>350</v>
      </c>
      <c r="F6" s="1" t="s">
        <v>5</v>
      </c>
      <c r="G6" s="7">
        <v>280</v>
      </c>
      <c r="H6" s="7">
        <v>100</v>
      </c>
      <c r="I6" s="7">
        <v>350</v>
      </c>
    </row>
    <row r="7" spans="1:9" x14ac:dyDescent="0.25">
      <c r="A7" s="1" t="s">
        <v>6</v>
      </c>
      <c r="B7" s="7">
        <v>18</v>
      </c>
      <c r="C7" s="7">
        <v>0</v>
      </c>
      <c r="D7" s="7">
        <v>0</v>
      </c>
      <c r="F7" s="1" t="s">
        <v>6</v>
      </c>
      <c r="G7" s="7">
        <v>18</v>
      </c>
      <c r="H7" s="7">
        <v>0</v>
      </c>
      <c r="I7" s="7">
        <v>0</v>
      </c>
    </row>
    <row r="8" spans="1:9" x14ac:dyDescent="0.25">
      <c r="A8" s="1" t="s">
        <v>7</v>
      </c>
      <c r="B8" s="7">
        <v>25</v>
      </c>
      <c r="C8" s="7">
        <v>0</v>
      </c>
      <c r="D8" s="7">
        <v>0</v>
      </c>
      <c r="F8" s="1" t="s">
        <v>7</v>
      </c>
      <c r="G8" s="7">
        <v>25</v>
      </c>
      <c r="H8" s="7">
        <v>0</v>
      </c>
      <c r="I8" s="7">
        <v>0</v>
      </c>
    </row>
    <row r="9" spans="1:9" x14ac:dyDescent="0.25">
      <c r="A9" s="1" t="s">
        <v>8</v>
      </c>
      <c r="B9" s="7">
        <v>15</v>
      </c>
      <c r="C9" s="7">
        <v>0</v>
      </c>
      <c r="D9" s="7">
        <v>0</v>
      </c>
      <c r="F9" s="1" t="s">
        <v>8</v>
      </c>
      <c r="G9" s="7">
        <v>15</v>
      </c>
      <c r="H9" s="7">
        <v>0</v>
      </c>
      <c r="I9" s="7">
        <v>0</v>
      </c>
    </row>
    <row r="10" spans="1:9" x14ac:dyDescent="0.25">
      <c r="A10" s="1" t="s">
        <v>9</v>
      </c>
      <c r="B10" s="7">
        <v>9</v>
      </c>
      <c r="C10" s="7">
        <v>0</v>
      </c>
      <c r="D10" s="7">
        <v>0</v>
      </c>
      <c r="F10" s="1" t="s">
        <v>9</v>
      </c>
      <c r="G10" s="7">
        <v>9</v>
      </c>
      <c r="H10" s="7">
        <v>0</v>
      </c>
      <c r="I10" s="7">
        <v>0</v>
      </c>
    </row>
    <row r="11" spans="1:9" x14ac:dyDescent="0.25">
      <c r="A11" s="1" t="s">
        <v>10</v>
      </c>
      <c r="B11" s="7">
        <v>0</v>
      </c>
      <c r="C11" s="7">
        <v>99</v>
      </c>
      <c r="D11" s="7">
        <v>0</v>
      </c>
      <c r="F11" s="1" t="s">
        <v>10</v>
      </c>
      <c r="G11" s="7">
        <v>0</v>
      </c>
      <c r="H11" s="7">
        <v>99</v>
      </c>
      <c r="I11" s="7">
        <v>0</v>
      </c>
    </row>
    <row r="12" spans="1:9" x14ac:dyDescent="0.25">
      <c r="A12" s="1" t="s">
        <v>11</v>
      </c>
      <c r="B12" s="7">
        <v>0</v>
      </c>
      <c r="C12" s="7">
        <v>95</v>
      </c>
      <c r="D12" s="7">
        <v>0</v>
      </c>
      <c r="F12" s="1" t="s">
        <v>11</v>
      </c>
      <c r="G12" s="7">
        <v>0</v>
      </c>
      <c r="H12" s="7">
        <v>95</v>
      </c>
      <c r="I12" s="7">
        <v>0</v>
      </c>
    </row>
    <row r="13" spans="1:9" x14ac:dyDescent="0.25">
      <c r="A13" s="1" t="s">
        <v>12</v>
      </c>
      <c r="B13" s="7">
        <v>0</v>
      </c>
      <c r="C13" s="7">
        <v>85</v>
      </c>
      <c r="D13" s="7">
        <v>0</v>
      </c>
      <c r="F13" s="1" t="s">
        <v>12</v>
      </c>
      <c r="G13" s="7">
        <v>0</v>
      </c>
      <c r="H13" s="7">
        <v>85</v>
      </c>
      <c r="I13" s="7">
        <v>0</v>
      </c>
    </row>
    <row r="14" spans="1:9" x14ac:dyDescent="0.25">
      <c r="A14" s="1" t="s">
        <v>13</v>
      </c>
      <c r="B14" s="7">
        <v>0</v>
      </c>
      <c r="C14" s="7">
        <v>85</v>
      </c>
      <c r="D14" s="7">
        <v>0</v>
      </c>
      <c r="F14" s="1" t="s">
        <v>13</v>
      </c>
      <c r="G14" s="7">
        <v>0</v>
      </c>
      <c r="H14" s="7">
        <v>85</v>
      </c>
      <c r="I14" s="7">
        <v>0</v>
      </c>
    </row>
    <row r="15" spans="1:9" x14ac:dyDescent="0.25">
      <c r="A15" s="1" t="s">
        <v>14</v>
      </c>
      <c r="B15" s="7">
        <v>0</v>
      </c>
      <c r="C15" s="7">
        <v>0</v>
      </c>
      <c r="D15" s="7">
        <v>555</v>
      </c>
      <c r="F15" s="1" t="s">
        <v>14</v>
      </c>
      <c r="G15" s="7">
        <v>0</v>
      </c>
      <c r="H15" s="7">
        <v>0</v>
      </c>
      <c r="I15" s="7">
        <v>555</v>
      </c>
    </row>
    <row r="18" spans="1:9" x14ac:dyDescent="0.25">
      <c r="A18" s="2" t="s">
        <v>15</v>
      </c>
      <c r="B18" s="8">
        <f>SUM(B6:B15)</f>
        <v>347</v>
      </c>
      <c r="C18" s="8">
        <f t="shared" ref="C18:D18" si="0">SUM(C6:C15)</f>
        <v>464</v>
      </c>
      <c r="D18" s="8">
        <f t="shared" si="0"/>
        <v>905</v>
      </c>
      <c r="F18" s="2" t="s">
        <v>15</v>
      </c>
      <c r="G18" s="8">
        <f>SUM(G6:G15)</f>
        <v>347</v>
      </c>
      <c r="H18" s="8">
        <f t="shared" ref="H18:I18" si="1">SUM(H6:H15)</f>
        <v>464</v>
      </c>
      <c r="I18" s="8">
        <f t="shared" si="1"/>
        <v>905</v>
      </c>
    </row>
    <row r="19" spans="1:9" x14ac:dyDescent="0.25">
      <c r="A19" s="2" t="s">
        <v>16</v>
      </c>
      <c r="B19" s="2">
        <v>2</v>
      </c>
      <c r="C19" s="2">
        <v>2</v>
      </c>
      <c r="D19" s="2">
        <v>2</v>
      </c>
      <c r="F19" s="2" t="s">
        <v>16</v>
      </c>
      <c r="G19" s="2">
        <v>3</v>
      </c>
      <c r="H19" s="2">
        <v>3</v>
      </c>
      <c r="I19" s="2">
        <v>3</v>
      </c>
    </row>
    <row r="20" spans="1:9" x14ac:dyDescent="0.25">
      <c r="A20" s="2" t="s">
        <v>17</v>
      </c>
      <c r="B20" s="8">
        <f>B18*B19</f>
        <v>694</v>
      </c>
      <c r="C20" s="8">
        <f t="shared" ref="C20:D20" si="2">C18*C19</f>
        <v>928</v>
      </c>
      <c r="D20" s="8">
        <f t="shared" si="2"/>
        <v>1810</v>
      </c>
      <c r="F20" s="2" t="s">
        <v>17</v>
      </c>
      <c r="G20" s="8">
        <f>G18*G19</f>
        <v>1041</v>
      </c>
      <c r="H20" s="8">
        <f t="shared" ref="H20:I20" si="3">H18*H19</f>
        <v>1392</v>
      </c>
      <c r="I20" s="8">
        <f t="shared" si="3"/>
        <v>2715</v>
      </c>
    </row>
    <row r="22" spans="1:9" x14ac:dyDescent="0.25">
      <c r="A22" s="3" t="s">
        <v>18</v>
      </c>
      <c r="B22" s="3"/>
      <c r="C22" s="3"/>
      <c r="D22" s="3"/>
      <c r="F22" s="3" t="s">
        <v>18</v>
      </c>
      <c r="G22" s="3"/>
      <c r="H22" s="3"/>
      <c r="I22" s="3"/>
    </row>
    <row r="23" spans="1:9" x14ac:dyDescent="0.25">
      <c r="A23" s="3" t="s">
        <v>19</v>
      </c>
      <c r="B23" s="9">
        <v>120</v>
      </c>
      <c r="C23" s="9">
        <v>105</v>
      </c>
      <c r="D23" s="9">
        <v>0</v>
      </c>
      <c r="F23" s="3" t="s">
        <v>19</v>
      </c>
      <c r="G23" s="9">
        <v>120</v>
      </c>
      <c r="H23" s="9">
        <v>105</v>
      </c>
      <c r="I23" s="9">
        <v>0</v>
      </c>
    </row>
    <row r="24" spans="1:9" x14ac:dyDescent="0.25">
      <c r="A24" s="20" t="s">
        <v>20</v>
      </c>
      <c r="B24" s="21">
        <v>5</v>
      </c>
      <c r="C24" s="21">
        <v>5</v>
      </c>
      <c r="D24" s="21">
        <v>0</v>
      </c>
      <c r="E24" s="16"/>
      <c r="F24" s="20" t="s">
        <v>20</v>
      </c>
      <c r="G24" s="21">
        <v>5</v>
      </c>
      <c r="H24" s="21">
        <v>5</v>
      </c>
      <c r="I24" s="21">
        <v>0</v>
      </c>
    </row>
    <row r="25" spans="1:9" x14ac:dyDescent="0.25">
      <c r="A25" s="3" t="s">
        <v>21</v>
      </c>
      <c r="B25" s="13">
        <f>B23*B24</f>
        <v>600</v>
      </c>
      <c r="C25" s="13">
        <f t="shared" ref="C25:D25" si="4">C23*C24</f>
        <v>525</v>
      </c>
      <c r="D25" s="13">
        <f t="shared" si="4"/>
        <v>0</v>
      </c>
      <c r="F25" s="3" t="s">
        <v>21</v>
      </c>
      <c r="G25" s="13">
        <f>G23*G24</f>
        <v>600</v>
      </c>
      <c r="H25" s="13">
        <f>H23*H24</f>
        <v>525</v>
      </c>
      <c r="I25" s="13">
        <f>SUM(I23:I24)</f>
        <v>0</v>
      </c>
    </row>
    <row r="28" spans="1:9" x14ac:dyDescent="0.25">
      <c r="A28" s="4" t="s">
        <v>23</v>
      </c>
      <c r="B28" s="4"/>
      <c r="C28" s="4"/>
      <c r="D28" s="4"/>
      <c r="F28" s="4" t="s">
        <v>23</v>
      </c>
      <c r="G28" s="4"/>
      <c r="H28" s="4"/>
      <c r="I28" s="4"/>
    </row>
    <row r="29" spans="1:9" x14ac:dyDescent="0.25">
      <c r="A29" s="4" t="s">
        <v>24</v>
      </c>
      <c r="B29" s="10">
        <v>50</v>
      </c>
      <c r="C29" s="10">
        <v>50</v>
      </c>
      <c r="D29" s="10">
        <v>0</v>
      </c>
      <c r="F29" s="4" t="s">
        <v>24</v>
      </c>
      <c r="G29" s="10">
        <v>50</v>
      </c>
      <c r="H29" s="10">
        <v>50</v>
      </c>
      <c r="I29" s="10">
        <v>0</v>
      </c>
    </row>
    <row r="30" spans="1:9" x14ac:dyDescent="0.25">
      <c r="A30" s="17" t="s">
        <v>26</v>
      </c>
      <c r="B30" s="15">
        <v>5</v>
      </c>
      <c r="C30" s="15">
        <v>5</v>
      </c>
      <c r="D30" s="15">
        <v>0</v>
      </c>
      <c r="F30" s="17" t="s">
        <v>26</v>
      </c>
      <c r="G30" s="15">
        <v>5</v>
      </c>
      <c r="H30" s="15">
        <v>5</v>
      </c>
      <c r="I30" s="15">
        <v>0</v>
      </c>
    </row>
    <row r="31" spans="1:9" x14ac:dyDescent="0.25">
      <c r="A31" s="4" t="s">
        <v>31</v>
      </c>
      <c r="B31" s="22">
        <f>B29*B30</f>
        <v>250</v>
      </c>
      <c r="C31" s="22">
        <f>C29*C30</f>
        <v>250</v>
      </c>
      <c r="D31" s="15">
        <v>0</v>
      </c>
      <c r="E31" s="16"/>
      <c r="F31" s="17" t="s">
        <v>31</v>
      </c>
      <c r="G31" s="22">
        <f>G29*G30</f>
        <v>250</v>
      </c>
      <c r="H31" s="22">
        <f t="shared" ref="H31:I31" si="5">H29*H30</f>
        <v>250</v>
      </c>
      <c r="I31" s="22">
        <f t="shared" si="5"/>
        <v>0</v>
      </c>
    </row>
    <row r="32" spans="1:9" x14ac:dyDescent="0.25">
      <c r="A32" s="4" t="s">
        <v>25</v>
      </c>
      <c r="B32" s="15">
        <v>2</v>
      </c>
      <c r="C32" s="15">
        <v>2</v>
      </c>
      <c r="D32" s="15">
        <v>0</v>
      </c>
      <c r="F32" s="17" t="s">
        <v>25</v>
      </c>
      <c r="G32" s="15">
        <v>3</v>
      </c>
      <c r="H32" s="15">
        <v>3</v>
      </c>
      <c r="I32" s="15">
        <v>0</v>
      </c>
    </row>
    <row r="33" spans="1:9" x14ac:dyDescent="0.25">
      <c r="A33" s="4" t="s">
        <v>27</v>
      </c>
      <c r="B33" s="12">
        <f>B31*B32</f>
        <v>500</v>
      </c>
      <c r="C33" s="12">
        <f>C31*C32</f>
        <v>500</v>
      </c>
      <c r="D33" s="12">
        <f t="shared" ref="D33" si="6">SUM(D30:D32)</f>
        <v>0</v>
      </c>
      <c r="F33" s="4" t="s">
        <v>27</v>
      </c>
      <c r="G33" s="12">
        <f>G31*G32</f>
        <v>750</v>
      </c>
      <c r="H33" s="12">
        <f t="shared" ref="H33:I33" si="7">H31*H32</f>
        <v>750</v>
      </c>
      <c r="I33" s="12">
        <f t="shared" si="7"/>
        <v>0</v>
      </c>
    </row>
    <row r="35" spans="1:9" x14ac:dyDescent="0.25">
      <c r="A35" s="5" t="s">
        <v>28</v>
      </c>
      <c r="B35" s="5"/>
      <c r="C35" s="5"/>
      <c r="D35" s="5"/>
      <c r="F35" s="5" t="s">
        <v>28</v>
      </c>
      <c r="G35" s="5"/>
      <c r="H35" s="5"/>
      <c r="I35" s="5"/>
    </row>
    <row r="36" spans="1:9" x14ac:dyDescent="0.25">
      <c r="A36" s="5" t="s">
        <v>22</v>
      </c>
      <c r="B36" s="11">
        <v>40</v>
      </c>
      <c r="C36" s="11">
        <v>0</v>
      </c>
      <c r="D36" s="11">
        <v>0</v>
      </c>
      <c r="F36" s="5" t="s">
        <v>22</v>
      </c>
      <c r="G36" s="11">
        <v>40</v>
      </c>
      <c r="H36" s="11">
        <v>0</v>
      </c>
      <c r="I36" s="11">
        <v>0</v>
      </c>
    </row>
    <row r="37" spans="1:9" x14ac:dyDescent="0.25">
      <c r="A37" s="5" t="s">
        <v>26</v>
      </c>
      <c r="B37" s="18">
        <v>5</v>
      </c>
      <c r="C37" s="18">
        <v>0</v>
      </c>
      <c r="D37" s="18">
        <v>0</v>
      </c>
      <c r="E37" s="16"/>
      <c r="F37" s="19" t="s">
        <v>26</v>
      </c>
      <c r="G37" s="18">
        <v>5</v>
      </c>
      <c r="H37" s="18">
        <v>0</v>
      </c>
      <c r="I37" s="18">
        <v>0</v>
      </c>
    </row>
    <row r="38" spans="1:9" x14ac:dyDescent="0.25">
      <c r="A38" s="5" t="s">
        <v>29</v>
      </c>
      <c r="B38" s="14">
        <f>B36*B37</f>
        <v>200</v>
      </c>
      <c r="C38" s="14">
        <f t="shared" ref="C38" si="8">SUM(C36:C37)</f>
        <v>0</v>
      </c>
      <c r="D38" s="14">
        <f t="shared" ref="D38" si="9">SUM(D36:D37)</f>
        <v>0</v>
      </c>
      <c r="F38" s="5" t="s">
        <v>29</v>
      </c>
      <c r="G38" s="14">
        <f>G36*G37</f>
        <v>200</v>
      </c>
      <c r="H38" s="14">
        <f t="shared" ref="H38" si="10">SUM(H36:H37)</f>
        <v>0</v>
      </c>
      <c r="I38" s="14">
        <f t="shared" ref="I38" si="11">SUM(I36:I37)</f>
        <v>0</v>
      </c>
    </row>
    <row r="40" spans="1:9" x14ac:dyDescent="0.25">
      <c r="A40" s="23" t="s">
        <v>32</v>
      </c>
      <c r="B40" s="24">
        <f>SUM(B20+B25+B33+B38)</f>
        <v>1994</v>
      </c>
      <c r="C40" s="24">
        <f t="shared" ref="C40:D40" si="12">SUM(C20+C25+C33+C38)</f>
        <v>1953</v>
      </c>
      <c r="D40" s="24">
        <f t="shared" si="12"/>
        <v>1810</v>
      </c>
      <c r="F40" s="25" t="s">
        <v>33</v>
      </c>
      <c r="G40" s="26">
        <f>SUM(G20+G25+G33+G38)</f>
        <v>2591</v>
      </c>
      <c r="H40" s="26">
        <f t="shared" ref="H40:I40" si="13">SUM(H20+H25+H33+H38)</f>
        <v>2667</v>
      </c>
      <c r="I40" s="26">
        <f t="shared" si="13"/>
        <v>2715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cduru876@gmail.com</dc:creator>
  <cp:lastModifiedBy>cduru876@gmail.com</cp:lastModifiedBy>
  <dcterms:created xsi:type="dcterms:W3CDTF">2026-02-01T20:51:24Z</dcterms:created>
  <dcterms:modified xsi:type="dcterms:W3CDTF">2026-02-04T06:12:31Z</dcterms:modified>
</cp:coreProperties>
</file>